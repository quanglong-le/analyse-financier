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Tableau_de_Bord" sheetId="2" state="visible" r:id="rId2"/>
    <sheet xmlns:r="http://schemas.openxmlformats.org/officeDocument/2006/relationships" name="Analyse_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13"/>
    </font>
    <font>
      <name val="Arial"/>
      <b val="1"/>
      <color rgb="00FFFFFF"/>
      <sz val="13"/>
    </font>
    <font>
      <name val="Arial"/>
      <i val="1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2F2F2F"/>
        <bgColor rgb="002F2F2F"/>
      </patternFill>
    </fill>
    <fill>
      <patternFill patternType="solid">
        <fgColor rgb="00EEEEEE"/>
        <bgColor rgb="00EEEE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0" fontId="1" fillId="4" borderId="1" applyAlignment="1" pivotButton="0" quotePrefix="0" xfId="0">
      <alignment vertical="center"/>
    </xf>
    <xf numFmtId="164" fontId="1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8" customWidth="1" min="5" max="5"/>
    <col width="10" customWidth="1" min="6" max="6"/>
    <col width="42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date_piece</t>
        </is>
      </c>
      <c r="B1" s="1" t="inlineStr">
        <is>
          <t>mois</t>
        </is>
      </c>
      <c r="C1" s="1" t="inlineStr">
        <is>
          <t>type_piece</t>
        </is>
      </c>
      <c r="D1" s="1" t="inlineStr">
        <is>
          <t>centre_cout</t>
        </is>
      </c>
      <c r="E1" s="1" t="inlineStr">
        <is>
          <t>produit</t>
        </is>
      </c>
      <c r="F1" s="1" t="inlineStr">
        <is>
          <t>compte_gl</t>
        </is>
      </c>
      <c r="G1" s="1" t="inlineStr">
        <is>
          <t>libelle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montant_net</t>
        </is>
      </c>
    </row>
    <row r="2">
      <c r="A2" s="2" t="inlineStr">
        <is>
          <t>2025-01-01</t>
        </is>
      </c>
      <c r="B2" s="2" t="n">
        <v>1</v>
      </c>
      <c r="C2" s="2" t="inlineStr">
        <is>
          <t>FV</t>
        </is>
      </c>
      <c r="D2" s="2" t="inlineStr">
        <is>
          <t>CC1000</t>
        </is>
      </c>
      <c r="E2" s="2" t="inlineStr">
        <is>
          <t>P01</t>
        </is>
      </c>
      <c r="F2" s="2" t="inlineStr">
        <is>
          <t>701000</t>
        </is>
      </c>
      <c r="G2" s="3" t="inlineStr">
        <is>
          <t>Ventes P01 mois 01/2025</t>
        </is>
      </c>
      <c r="H2" s="4" t="n">
        <v>0</v>
      </c>
      <c r="I2" s="4" t="n">
        <v>28982.44</v>
      </c>
      <c r="J2" s="4" t="n">
        <v>28982.44</v>
      </c>
    </row>
    <row r="3">
      <c r="A3" s="2" t="inlineStr">
        <is>
          <t>2025-01-01</t>
        </is>
      </c>
      <c r="B3" s="2" t="n">
        <v>1</v>
      </c>
      <c r="C3" s="2" t="inlineStr">
        <is>
          <t>SA</t>
        </is>
      </c>
      <c r="D3" s="2" t="inlineStr">
        <is>
          <t>CC2000</t>
        </is>
      </c>
      <c r="E3" s="2" t="inlineStr"/>
      <c r="F3" s="2" t="inlineStr">
        <is>
          <t>624000</t>
        </is>
      </c>
      <c r="G3" s="3" t="inlineStr">
        <is>
          <t>Transport et logistique mois 01/2025</t>
        </is>
      </c>
      <c r="H3" s="4" t="n">
        <v>2229.96</v>
      </c>
      <c r="I3" s="4" t="n">
        <v>0</v>
      </c>
      <c r="J3" s="4" t="n">
        <v>-2229.96</v>
      </c>
    </row>
    <row r="4">
      <c r="A4" s="2" t="inlineStr">
        <is>
          <t>2025-01-02</t>
        </is>
      </c>
      <c r="B4" s="2" t="n">
        <v>1</v>
      </c>
      <c r="C4" s="2" t="inlineStr">
        <is>
          <t>FA</t>
        </is>
      </c>
      <c r="D4" s="2" t="inlineStr">
        <is>
          <t>CC2000</t>
        </is>
      </c>
      <c r="E4" s="2" t="inlineStr">
        <is>
          <t>P03</t>
        </is>
      </c>
      <c r="F4" s="2" t="inlineStr">
        <is>
          <t>601000</t>
        </is>
      </c>
      <c r="G4" s="3" t="inlineStr">
        <is>
          <t>Achats marchandises P03 mois 01/2025</t>
        </is>
      </c>
      <c r="H4" s="4" t="n">
        <v>11121.25</v>
      </c>
      <c r="I4" s="4" t="n">
        <v>0</v>
      </c>
      <c r="J4" s="4" t="n">
        <v>-11121.25</v>
      </c>
    </row>
    <row r="5">
      <c r="A5" s="2" t="inlineStr">
        <is>
          <t>2025-01-03</t>
        </is>
      </c>
      <c r="B5" s="2" t="n">
        <v>1</v>
      </c>
      <c r="C5" s="2" t="inlineStr">
        <is>
          <t>FV</t>
        </is>
      </c>
      <c r="D5" s="2" t="inlineStr">
        <is>
          <t>CC1000</t>
        </is>
      </c>
      <c r="E5" s="2" t="inlineStr">
        <is>
          <t>P03</t>
        </is>
      </c>
      <c r="F5" s="2" t="inlineStr">
        <is>
          <t>701000</t>
        </is>
      </c>
      <c r="G5" s="3" t="inlineStr">
        <is>
          <t>Ventes P03 mois 01/2025</t>
        </is>
      </c>
      <c r="H5" s="4" t="n">
        <v>0</v>
      </c>
      <c r="I5" s="4" t="n">
        <v>18938.18</v>
      </c>
      <c r="J5" s="4" t="n">
        <v>18938.18</v>
      </c>
    </row>
    <row r="6">
      <c r="A6" s="2" t="inlineStr">
        <is>
          <t>2025-01-06</t>
        </is>
      </c>
      <c r="B6" s="2" t="n">
        <v>1</v>
      </c>
      <c r="C6" s="2" t="inlineStr">
        <is>
          <t>SA</t>
        </is>
      </c>
      <c r="D6" s="2" t="inlineStr">
        <is>
          <t>CC4000</t>
        </is>
      </c>
      <c r="E6" s="2" t="inlineStr"/>
      <c r="F6" s="2" t="inlineStr">
        <is>
          <t>627000</t>
        </is>
      </c>
      <c r="G6" s="3" t="inlineStr">
        <is>
          <t>Frais bancaires et divers mois 01/2025</t>
        </is>
      </c>
      <c r="H6" s="4" t="n">
        <v>779.4</v>
      </c>
      <c r="I6" s="4" t="n">
        <v>0</v>
      </c>
      <c r="J6" s="4" t="n">
        <v>-779.4</v>
      </c>
    </row>
    <row r="7">
      <c r="A7" s="2" t="inlineStr">
        <is>
          <t>2025-01-07</t>
        </is>
      </c>
      <c r="B7" s="2" t="n">
        <v>1</v>
      </c>
      <c r="C7" s="2" t="inlineStr">
        <is>
          <t>FV</t>
        </is>
      </c>
      <c r="D7" s="2" t="inlineStr">
        <is>
          <t>CC1000</t>
        </is>
      </c>
      <c r="E7" s="2" t="inlineStr">
        <is>
          <t>P04</t>
        </is>
      </c>
      <c r="F7" s="2" t="inlineStr">
        <is>
          <t>701000</t>
        </is>
      </c>
      <c r="G7" s="3" t="inlineStr">
        <is>
          <t>Ventes P04 mois 01/2025</t>
        </is>
      </c>
      <c r="H7" s="4" t="n">
        <v>0</v>
      </c>
      <c r="I7" s="4" t="n">
        <v>11235.93</v>
      </c>
      <c r="J7" s="4" t="n">
        <v>11235.93</v>
      </c>
    </row>
    <row r="8">
      <c r="A8" s="2" t="inlineStr">
        <is>
          <t>2025-01-07</t>
        </is>
      </c>
      <c r="B8" s="2" t="n">
        <v>1</v>
      </c>
      <c r="C8" s="2" t="inlineStr">
        <is>
          <t>SA</t>
        </is>
      </c>
      <c r="D8" s="2" t="inlineStr">
        <is>
          <t>CC1000</t>
        </is>
      </c>
      <c r="E8" s="2" t="inlineStr"/>
      <c r="F8" s="2" t="inlineStr">
        <is>
          <t>641000</t>
        </is>
      </c>
      <c r="G8" s="3" t="inlineStr">
        <is>
          <t>Salaires et charges sociales</t>
        </is>
      </c>
      <c r="H8" s="4" t="n">
        <v>21375.03</v>
      </c>
      <c r="I8" s="4" t="n">
        <v>0</v>
      </c>
      <c r="J8" s="4" t="n">
        <v>-21375.03</v>
      </c>
    </row>
    <row r="9">
      <c r="A9" s="2" t="inlineStr">
        <is>
          <t>2025-01-08</t>
        </is>
      </c>
      <c r="B9" s="2" t="n">
        <v>1</v>
      </c>
      <c r="C9" s="2" t="inlineStr">
        <is>
          <t>FA</t>
        </is>
      </c>
      <c r="D9" s="2" t="inlineStr">
        <is>
          <t>CC2000</t>
        </is>
      </c>
      <c r="E9" s="2" t="inlineStr">
        <is>
          <t>P01</t>
        </is>
      </c>
      <c r="F9" s="2" t="inlineStr">
        <is>
          <t>601000</t>
        </is>
      </c>
      <c r="G9" s="3" t="inlineStr">
        <is>
          <t>Achats marchandises P01 mois 01/2025</t>
        </is>
      </c>
      <c r="H9" s="4" t="n">
        <v>17369.87</v>
      </c>
      <c r="I9" s="4" t="n">
        <v>0</v>
      </c>
      <c r="J9" s="4" t="n">
        <v>-17369.87</v>
      </c>
    </row>
    <row r="10">
      <c r="A10" s="2" t="inlineStr">
        <is>
          <t>2025-01-08</t>
        </is>
      </c>
      <c r="B10" s="2" t="n">
        <v>1</v>
      </c>
      <c r="C10" s="2" t="inlineStr">
        <is>
          <t>SA</t>
        </is>
      </c>
      <c r="D10" s="2" t="inlineStr">
        <is>
          <t>CC4000</t>
        </is>
      </c>
      <c r="E10" s="2" t="inlineStr"/>
      <c r="F10" s="2" t="inlineStr">
        <is>
          <t>641001</t>
        </is>
      </c>
      <c r="G10" s="3" t="inlineStr">
        <is>
          <t>Salaires administration</t>
        </is>
      </c>
      <c r="H10" s="4" t="n">
        <v>6517.53</v>
      </c>
      <c r="I10" s="4" t="n">
        <v>0</v>
      </c>
      <c r="J10" s="4" t="n">
        <v>-6517.53</v>
      </c>
    </row>
    <row r="11">
      <c r="A11" s="2" t="inlineStr">
        <is>
          <t>2025-01-09</t>
        </is>
      </c>
      <c r="B11" s="2" t="n">
        <v>1</v>
      </c>
      <c r="C11" s="2" t="inlineStr">
        <is>
          <t>SA</t>
        </is>
      </c>
      <c r="D11" s="2" t="inlineStr">
        <is>
          <t>CC3000</t>
        </is>
      </c>
      <c r="E11" s="2" t="inlineStr"/>
      <c r="F11" s="2" t="inlineStr">
        <is>
          <t>623000</t>
        </is>
      </c>
      <c r="G11" s="3" t="inlineStr">
        <is>
          <t>Publicité et marketing mois 01/2025</t>
        </is>
      </c>
      <c r="H11" s="4" t="n">
        <v>2363.43</v>
      </c>
      <c r="I11" s="4" t="n">
        <v>0</v>
      </c>
      <c r="J11" s="4" t="n">
        <v>-2363.43</v>
      </c>
    </row>
    <row r="12">
      <c r="A12" s="2" t="inlineStr">
        <is>
          <t>2025-01-20</t>
        </is>
      </c>
      <c r="B12" s="2" t="n">
        <v>1</v>
      </c>
      <c r="C12" s="2" t="inlineStr">
        <is>
          <t>FA</t>
        </is>
      </c>
      <c r="D12" s="2" t="inlineStr">
        <is>
          <t>CC2000</t>
        </is>
      </c>
      <c r="E12" s="2" t="inlineStr">
        <is>
          <t>P04</t>
        </is>
      </c>
      <c r="F12" s="2" t="inlineStr">
        <is>
          <t>601000</t>
        </is>
      </c>
      <c r="G12" s="3" t="inlineStr">
        <is>
          <t>Achats marchandises P04 mois 01/2025</t>
        </is>
      </c>
      <c r="H12" s="4" t="n">
        <v>6276.54</v>
      </c>
      <c r="I12" s="4" t="n">
        <v>0</v>
      </c>
      <c r="J12" s="4" t="n">
        <v>-6276.54</v>
      </c>
    </row>
    <row r="13">
      <c r="A13" s="2" t="inlineStr">
        <is>
          <t>2025-01-23</t>
        </is>
      </c>
      <c r="B13" s="2" t="n">
        <v>1</v>
      </c>
      <c r="C13" s="2" t="inlineStr">
        <is>
          <t>SA</t>
        </is>
      </c>
      <c r="D13" s="2" t="inlineStr">
        <is>
          <t>CC1000</t>
        </is>
      </c>
      <c r="E13" s="2" t="inlineStr"/>
      <c r="F13" s="2" t="inlineStr">
        <is>
          <t>613000</t>
        </is>
      </c>
      <c r="G13" s="3" t="inlineStr">
        <is>
          <t>Loyer et charges locatives</t>
        </is>
      </c>
      <c r="H13" s="4" t="n">
        <v>8610.17</v>
      </c>
      <c r="I13" s="4" t="n">
        <v>0</v>
      </c>
      <c r="J13" s="4" t="n">
        <v>-8610.17</v>
      </c>
    </row>
    <row r="14">
      <c r="A14" s="2" t="inlineStr">
        <is>
          <t>2025-01-24</t>
        </is>
      </c>
      <c r="B14" s="2" t="n">
        <v>1</v>
      </c>
      <c r="C14" s="2" t="inlineStr">
        <is>
          <t>FV</t>
        </is>
      </c>
      <c r="D14" s="2" t="inlineStr">
        <is>
          <t>CC1000</t>
        </is>
      </c>
      <c r="E14" s="2" t="inlineStr">
        <is>
          <t>P02</t>
        </is>
      </c>
      <c r="F14" s="2" t="inlineStr">
        <is>
          <t>701000</t>
        </is>
      </c>
      <c r="G14" s="3" t="inlineStr">
        <is>
          <t>Ventes P02 mois 01/2025</t>
        </is>
      </c>
      <c r="H14" s="4" t="n">
        <v>0</v>
      </c>
      <c r="I14" s="4" t="n">
        <v>21675.59</v>
      </c>
      <c r="J14" s="4" t="n">
        <v>21675.59</v>
      </c>
    </row>
    <row r="15">
      <c r="A15" s="2" t="inlineStr">
        <is>
          <t>2025-01-24</t>
        </is>
      </c>
      <c r="B15" s="2" t="n">
        <v>1</v>
      </c>
      <c r="C15" s="2" t="inlineStr">
        <is>
          <t>FA</t>
        </is>
      </c>
      <c r="D15" s="2" t="inlineStr">
        <is>
          <t>CC2000</t>
        </is>
      </c>
      <c r="E15" s="2" t="inlineStr">
        <is>
          <t>P02</t>
        </is>
      </c>
      <c r="F15" s="2" t="inlineStr">
        <is>
          <t>601000</t>
        </is>
      </c>
      <c r="G15" s="3" t="inlineStr">
        <is>
          <t>Achats marchandises P02 mois 01/2025</t>
        </is>
      </c>
      <c r="H15" s="4" t="n">
        <v>11882.55</v>
      </c>
      <c r="I15" s="4" t="n">
        <v>0</v>
      </c>
      <c r="J15" s="4" t="n">
        <v>-11882.55</v>
      </c>
    </row>
    <row r="16">
      <c r="A16" s="2" t="inlineStr">
        <is>
          <t>2025-02-04</t>
        </is>
      </c>
      <c r="B16" s="2" t="n">
        <v>2</v>
      </c>
      <c r="C16" s="2" t="inlineStr">
        <is>
          <t>FA</t>
        </is>
      </c>
      <c r="D16" s="2" t="inlineStr">
        <is>
          <t>CC2000</t>
        </is>
      </c>
      <c r="E16" s="2" t="inlineStr">
        <is>
          <t>P04</t>
        </is>
      </c>
      <c r="F16" s="2" t="inlineStr">
        <is>
          <t>601000</t>
        </is>
      </c>
      <c r="G16" s="3" t="inlineStr">
        <is>
          <t>Achats marchandises P04 mois 02/2025</t>
        </is>
      </c>
      <c r="H16" s="4" t="n">
        <v>6861.79</v>
      </c>
      <c r="I16" s="4" t="n">
        <v>0</v>
      </c>
      <c r="J16" s="4" t="n">
        <v>-6861.79</v>
      </c>
    </row>
    <row r="17">
      <c r="A17" s="2" t="inlineStr">
        <is>
          <t>2025-02-07</t>
        </is>
      </c>
      <c r="B17" s="2" t="n">
        <v>2</v>
      </c>
      <c r="C17" s="2" t="inlineStr">
        <is>
          <t>FA</t>
        </is>
      </c>
      <c r="D17" s="2" t="inlineStr">
        <is>
          <t>CC2000</t>
        </is>
      </c>
      <c r="E17" s="2" t="inlineStr">
        <is>
          <t>P01</t>
        </is>
      </c>
      <c r="F17" s="2" t="inlineStr">
        <is>
          <t>601000</t>
        </is>
      </c>
      <c r="G17" s="3" t="inlineStr">
        <is>
          <t>Achats marchandises P01 mois 02/2025</t>
        </is>
      </c>
      <c r="H17" s="4" t="n">
        <v>15348.22</v>
      </c>
      <c r="I17" s="4" t="n">
        <v>0</v>
      </c>
      <c r="J17" s="4" t="n">
        <v>-15348.22</v>
      </c>
    </row>
    <row r="18">
      <c r="A18" s="2" t="inlineStr">
        <is>
          <t>2025-02-09</t>
        </is>
      </c>
      <c r="B18" s="2" t="n">
        <v>2</v>
      </c>
      <c r="C18" s="2" t="inlineStr">
        <is>
          <t>FA</t>
        </is>
      </c>
      <c r="D18" s="2" t="inlineStr">
        <is>
          <t>CC2000</t>
        </is>
      </c>
      <c r="E18" s="2" t="inlineStr">
        <is>
          <t>P03</t>
        </is>
      </c>
      <c r="F18" s="2" t="inlineStr">
        <is>
          <t>601000</t>
        </is>
      </c>
      <c r="G18" s="3" t="inlineStr">
        <is>
          <t>Achats marchandises P03 mois 02/2025</t>
        </is>
      </c>
      <c r="H18" s="4" t="n">
        <v>8829.879999999999</v>
      </c>
      <c r="I18" s="4" t="n">
        <v>0</v>
      </c>
      <c r="J18" s="4" t="n">
        <v>-8829.879999999999</v>
      </c>
    </row>
    <row r="19">
      <c r="A19" s="2" t="inlineStr">
        <is>
          <t>2025-02-10</t>
        </is>
      </c>
      <c r="B19" s="2" t="n">
        <v>2</v>
      </c>
      <c r="C19" s="2" t="inlineStr">
        <is>
          <t>SA</t>
        </is>
      </c>
      <c r="D19" s="2" t="inlineStr">
        <is>
          <t>CC1000</t>
        </is>
      </c>
      <c r="E19" s="2" t="inlineStr"/>
      <c r="F19" s="2" t="inlineStr">
        <is>
          <t>613000</t>
        </is>
      </c>
      <c r="G19" s="3" t="inlineStr">
        <is>
          <t>Loyer et charges locatives</t>
        </is>
      </c>
      <c r="H19" s="4" t="n">
        <v>8285.190000000001</v>
      </c>
      <c r="I19" s="4" t="n">
        <v>0</v>
      </c>
      <c r="J19" s="4" t="n">
        <v>-8285.190000000001</v>
      </c>
    </row>
    <row r="20">
      <c r="A20" s="2" t="inlineStr">
        <is>
          <t>2025-02-11</t>
        </is>
      </c>
      <c r="B20" s="2" t="n">
        <v>2</v>
      </c>
      <c r="C20" s="2" t="inlineStr">
        <is>
          <t>FV</t>
        </is>
      </c>
      <c r="D20" s="2" t="inlineStr">
        <is>
          <t>CC1000</t>
        </is>
      </c>
      <c r="E20" s="2" t="inlineStr">
        <is>
          <t>P01</t>
        </is>
      </c>
      <c r="F20" s="2" t="inlineStr">
        <is>
          <t>701000</t>
        </is>
      </c>
      <c r="G20" s="3" t="inlineStr">
        <is>
          <t>Ventes P01 mois 02/2025</t>
        </is>
      </c>
      <c r="H20" s="4" t="n">
        <v>0</v>
      </c>
      <c r="I20" s="4" t="n">
        <v>27298.84</v>
      </c>
      <c r="J20" s="4" t="n">
        <v>27298.84</v>
      </c>
    </row>
    <row r="21">
      <c r="A21" s="2" t="inlineStr">
        <is>
          <t>2025-02-11</t>
        </is>
      </c>
      <c r="B21" s="2" t="n">
        <v>2</v>
      </c>
      <c r="C21" s="2" t="inlineStr">
        <is>
          <t>FV</t>
        </is>
      </c>
      <c r="D21" s="2" t="inlineStr">
        <is>
          <t>CC1000</t>
        </is>
      </c>
      <c r="E21" s="2" t="inlineStr">
        <is>
          <t>P02</t>
        </is>
      </c>
      <c r="F21" s="2" t="inlineStr">
        <is>
          <t>701000</t>
        </is>
      </c>
      <c r="G21" s="3" t="inlineStr">
        <is>
          <t>Ventes P02 mois 02/2025</t>
        </is>
      </c>
      <c r="H21" s="4" t="n">
        <v>0</v>
      </c>
      <c r="I21" s="4" t="n">
        <v>22716.53</v>
      </c>
      <c r="J21" s="4" t="n">
        <v>22716.53</v>
      </c>
    </row>
    <row r="22">
      <c r="A22" s="2" t="inlineStr">
        <is>
          <t>2025-02-12</t>
        </is>
      </c>
      <c r="B22" s="2" t="n">
        <v>2</v>
      </c>
      <c r="C22" s="2" t="inlineStr">
        <is>
          <t>SA</t>
        </is>
      </c>
      <c r="D22" s="2" t="inlineStr">
        <is>
          <t>CC3000</t>
        </is>
      </c>
      <c r="E22" s="2" t="inlineStr"/>
      <c r="F22" s="2" t="inlineStr">
        <is>
          <t>623000</t>
        </is>
      </c>
      <c r="G22" s="3" t="inlineStr">
        <is>
          <t>Publicité et marketing mois 02/2025</t>
        </is>
      </c>
      <c r="H22" s="4" t="n">
        <v>2499.02</v>
      </c>
      <c r="I22" s="4" t="n">
        <v>0</v>
      </c>
      <c r="J22" s="4" t="n">
        <v>-2499.02</v>
      </c>
    </row>
    <row r="23">
      <c r="A23" s="2" t="inlineStr">
        <is>
          <t>2025-02-13</t>
        </is>
      </c>
      <c r="B23" s="2" t="n">
        <v>2</v>
      </c>
      <c r="C23" s="2" t="inlineStr">
        <is>
          <t>FA</t>
        </is>
      </c>
      <c r="D23" s="2" t="inlineStr">
        <is>
          <t>CC2000</t>
        </is>
      </c>
      <c r="E23" s="2" t="inlineStr">
        <is>
          <t>P02</t>
        </is>
      </c>
      <c r="F23" s="2" t="inlineStr">
        <is>
          <t>601000</t>
        </is>
      </c>
      <c r="G23" s="3" t="inlineStr">
        <is>
          <t>Achats marchandises P02 mois 02/2025</t>
        </is>
      </c>
      <c r="H23" s="4" t="n">
        <v>12452.68</v>
      </c>
      <c r="I23" s="4" t="n">
        <v>0</v>
      </c>
      <c r="J23" s="4" t="n">
        <v>-12452.68</v>
      </c>
    </row>
    <row r="24">
      <c r="A24" s="2" t="inlineStr">
        <is>
          <t>2025-02-13</t>
        </is>
      </c>
      <c r="B24" s="2" t="n">
        <v>2</v>
      </c>
      <c r="C24" s="2" t="inlineStr">
        <is>
          <t>SA</t>
        </is>
      </c>
      <c r="D24" s="2" t="inlineStr">
        <is>
          <t>CC1000</t>
        </is>
      </c>
      <c r="E24" s="2" t="inlineStr"/>
      <c r="F24" s="2" t="inlineStr">
        <is>
          <t>641000</t>
        </is>
      </c>
      <c r="G24" s="3" t="inlineStr">
        <is>
          <t>Salaires et charges sociales</t>
        </is>
      </c>
      <c r="H24" s="4" t="n">
        <v>22624.51</v>
      </c>
      <c r="I24" s="4" t="n">
        <v>0</v>
      </c>
      <c r="J24" s="4" t="n">
        <v>-22624.51</v>
      </c>
    </row>
    <row r="25">
      <c r="A25" s="2" t="inlineStr">
        <is>
          <t>2025-02-20</t>
        </is>
      </c>
      <c r="B25" s="2" t="n">
        <v>2</v>
      </c>
      <c r="C25" s="2" t="inlineStr">
        <is>
          <t>SA</t>
        </is>
      </c>
      <c r="D25" s="2" t="inlineStr">
        <is>
          <t>CC4000</t>
        </is>
      </c>
      <c r="E25" s="2" t="inlineStr"/>
      <c r="F25" s="2" t="inlineStr">
        <is>
          <t>641001</t>
        </is>
      </c>
      <c r="G25" s="3" t="inlineStr">
        <is>
          <t>Salaires administration</t>
        </is>
      </c>
      <c r="H25" s="4" t="n">
        <v>6628.47</v>
      </c>
      <c r="I25" s="4" t="n">
        <v>0</v>
      </c>
      <c r="J25" s="4" t="n">
        <v>-6628.47</v>
      </c>
    </row>
    <row r="26">
      <c r="A26" s="2" t="inlineStr">
        <is>
          <t>2025-02-22</t>
        </is>
      </c>
      <c r="B26" s="2" t="n">
        <v>2</v>
      </c>
      <c r="C26" s="2" t="inlineStr">
        <is>
          <t>SA</t>
        </is>
      </c>
      <c r="D26" s="2" t="inlineStr">
        <is>
          <t>CC4000</t>
        </is>
      </c>
      <c r="E26" s="2" t="inlineStr"/>
      <c r="F26" s="2" t="inlineStr">
        <is>
          <t>627000</t>
        </is>
      </c>
      <c r="G26" s="3" t="inlineStr">
        <is>
          <t>Frais bancaires et divers mois 02/2025</t>
        </is>
      </c>
      <c r="H26" s="4" t="n">
        <v>434.78</v>
      </c>
      <c r="I26" s="4" t="n">
        <v>0</v>
      </c>
      <c r="J26" s="4" t="n">
        <v>-434.78</v>
      </c>
    </row>
    <row r="27">
      <c r="A27" s="2" t="inlineStr">
        <is>
          <t>2025-02-23</t>
        </is>
      </c>
      <c r="B27" s="2" t="n">
        <v>2</v>
      </c>
      <c r="C27" s="2" t="inlineStr">
        <is>
          <t>SA</t>
        </is>
      </c>
      <c r="D27" s="2" t="inlineStr">
        <is>
          <t>CC2000</t>
        </is>
      </c>
      <c r="E27" s="2" t="inlineStr"/>
      <c r="F27" s="2" t="inlineStr">
        <is>
          <t>624000</t>
        </is>
      </c>
      <c r="G27" s="3" t="inlineStr">
        <is>
          <t>Transport et logistique mois 02/2025</t>
        </is>
      </c>
      <c r="H27" s="4" t="n">
        <v>1990.32</v>
      </c>
      <c r="I27" s="4" t="n">
        <v>0</v>
      </c>
      <c r="J27" s="4" t="n">
        <v>-1990.32</v>
      </c>
    </row>
    <row r="28">
      <c r="A28" s="2" t="inlineStr">
        <is>
          <t>2025-02-24</t>
        </is>
      </c>
      <c r="B28" s="2" t="n">
        <v>2</v>
      </c>
      <c r="C28" s="2" t="inlineStr">
        <is>
          <t>FV</t>
        </is>
      </c>
      <c r="D28" s="2" t="inlineStr">
        <is>
          <t>CC1000</t>
        </is>
      </c>
      <c r="E28" s="2" t="inlineStr">
        <is>
          <t>P04</t>
        </is>
      </c>
      <c r="F28" s="2" t="inlineStr">
        <is>
          <t>701000</t>
        </is>
      </c>
      <c r="G28" s="3" t="inlineStr">
        <is>
          <t>Ventes P04 mois 02/2025</t>
        </is>
      </c>
      <c r="H28" s="4" t="n">
        <v>0</v>
      </c>
      <c r="I28" s="4" t="n">
        <v>11897.25</v>
      </c>
      <c r="J28" s="4" t="n">
        <v>11897.25</v>
      </c>
    </row>
    <row r="29">
      <c r="A29" s="2" t="inlineStr">
        <is>
          <t>2025-02-28</t>
        </is>
      </c>
      <c r="B29" s="2" t="n">
        <v>2</v>
      </c>
      <c r="C29" s="2" t="inlineStr">
        <is>
          <t>FV</t>
        </is>
      </c>
      <c r="D29" s="2" t="inlineStr">
        <is>
          <t>CC1000</t>
        </is>
      </c>
      <c r="E29" s="2" t="inlineStr">
        <is>
          <t>P03</t>
        </is>
      </c>
      <c r="F29" s="2" t="inlineStr">
        <is>
          <t>701000</t>
        </is>
      </c>
      <c r="G29" s="3" t="inlineStr">
        <is>
          <t>Ventes P03 mois 02/2025</t>
        </is>
      </c>
      <c r="H29" s="4" t="n">
        <v>0</v>
      </c>
      <c r="I29" s="4" t="n">
        <v>15558.81</v>
      </c>
      <c r="J29" s="4" t="n">
        <v>15558.81</v>
      </c>
    </row>
    <row r="30">
      <c r="A30" s="2" t="inlineStr">
        <is>
          <t>2025-03-04</t>
        </is>
      </c>
      <c r="B30" s="2" t="n">
        <v>3</v>
      </c>
      <c r="C30" s="2" t="inlineStr">
        <is>
          <t>FV</t>
        </is>
      </c>
      <c r="D30" s="2" t="inlineStr">
        <is>
          <t>CC1000</t>
        </is>
      </c>
      <c r="E30" s="2" t="inlineStr">
        <is>
          <t>P02</t>
        </is>
      </c>
      <c r="F30" s="2" t="inlineStr">
        <is>
          <t>701000</t>
        </is>
      </c>
      <c r="G30" s="3" t="inlineStr">
        <is>
          <t>Ventes P02 mois 03/2025</t>
        </is>
      </c>
      <c r="H30" s="4" t="n">
        <v>0</v>
      </c>
      <c r="I30" s="4" t="n">
        <v>24605.07</v>
      </c>
      <c r="J30" s="4" t="n">
        <v>24605.07</v>
      </c>
    </row>
    <row r="31">
      <c r="A31" s="2" t="inlineStr">
        <is>
          <t>2025-03-06</t>
        </is>
      </c>
      <c r="B31" s="2" t="n">
        <v>3</v>
      </c>
      <c r="C31" s="2" t="inlineStr">
        <is>
          <t>SA</t>
        </is>
      </c>
      <c r="D31" s="2" t="inlineStr">
        <is>
          <t>CC4000</t>
        </is>
      </c>
      <c r="E31" s="2" t="inlineStr"/>
      <c r="F31" s="2" t="inlineStr">
        <is>
          <t>641001</t>
        </is>
      </c>
      <c r="G31" s="3" t="inlineStr">
        <is>
          <t>Salaires administration</t>
        </is>
      </c>
      <c r="H31" s="4" t="n">
        <v>6589.36</v>
      </c>
      <c r="I31" s="4" t="n">
        <v>0</v>
      </c>
      <c r="J31" s="4" t="n">
        <v>-6589.36</v>
      </c>
    </row>
    <row r="32">
      <c r="A32" s="2" t="inlineStr">
        <is>
          <t>2025-03-08</t>
        </is>
      </c>
      <c r="B32" s="2" t="n">
        <v>3</v>
      </c>
      <c r="C32" s="2" t="inlineStr">
        <is>
          <t>SA</t>
        </is>
      </c>
      <c r="D32" s="2" t="inlineStr">
        <is>
          <t>CC4000</t>
        </is>
      </c>
      <c r="E32" s="2" t="inlineStr"/>
      <c r="F32" s="2" t="inlineStr">
        <is>
          <t>627000</t>
        </is>
      </c>
      <c r="G32" s="3" t="inlineStr">
        <is>
          <t>Frais bancaires et divers mois 03/2025</t>
        </is>
      </c>
      <c r="H32" s="4" t="n">
        <v>744.08</v>
      </c>
      <c r="I32" s="4" t="n">
        <v>0</v>
      </c>
      <c r="J32" s="4" t="n">
        <v>-744.08</v>
      </c>
    </row>
    <row r="33">
      <c r="A33" s="2" t="inlineStr">
        <is>
          <t>2025-03-09</t>
        </is>
      </c>
      <c r="B33" s="2" t="n">
        <v>3</v>
      </c>
      <c r="C33" s="2" t="inlineStr">
        <is>
          <t>FV</t>
        </is>
      </c>
      <c r="D33" s="2" t="inlineStr">
        <is>
          <t>CC1000</t>
        </is>
      </c>
      <c r="E33" s="2" t="inlineStr">
        <is>
          <t>P04</t>
        </is>
      </c>
      <c r="F33" s="2" t="inlineStr">
        <is>
          <t>701000</t>
        </is>
      </c>
      <c r="G33" s="3" t="inlineStr">
        <is>
          <t>Ventes P04 mois 03/2025</t>
        </is>
      </c>
      <c r="H33" s="4" t="n">
        <v>0</v>
      </c>
      <c r="I33" s="4" t="n">
        <v>13129.99</v>
      </c>
      <c r="J33" s="4" t="n">
        <v>13129.99</v>
      </c>
    </row>
    <row r="34">
      <c r="A34" s="2" t="inlineStr">
        <is>
          <t>2025-03-09</t>
        </is>
      </c>
      <c r="B34" s="2" t="n">
        <v>3</v>
      </c>
      <c r="C34" s="2" t="inlineStr">
        <is>
          <t>SA</t>
        </is>
      </c>
      <c r="D34" s="2" t="inlineStr">
        <is>
          <t>CC3000</t>
        </is>
      </c>
      <c r="E34" s="2" t="inlineStr"/>
      <c r="F34" s="2" t="inlineStr">
        <is>
          <t>623000</t>
        </is>
      </c>
      <c r="G34" s="3" t="inlineStr">
        <is>
          <t>Publicité et marketing mois 03/2025</t>
        </is>
      </c>
      <c r="H34" s="4" t="n">
        <v>2689.2</v>
      </c>
      <c r="I34" s="4" t="n">
        <v>0</v>
      </c>
      <c r="J34" s="4" t="n">
        <v>-2689.2</v>
      </c>
    </row>
    <row r="35">
      <c r="A35" s="2" t="inlineStr">
        <is>
          <t>2025-03-10</t>
        </is>
      </c>
      <c r="B35" s="2" t="n">
        <v>3</v>
      </c>
      <c r="C35" s="2" t="inlineStr">
        <is>
          <t>FV</t>
        </is>
      </c>
      <c r="D35" s="2" t="inlineStr">
        <is>
          <t>CC1000</t>
        </is>
      </c>
      <c r="E35" s="2" t="inlineStr">
        <is>
          <t>P01</t>
        </is>
      </c>
      <c r="F35" s="2" t="inlineStr">
        <is>
          <t>701000</t>
        </is>
      </c>
      <c r="G35" s="3" t="inlineStr">
        <is>
          <t>Ventes P01 mois 03/2025</t>
        </is>
      </c>
      <c r="H35" s="4" t="n">
        <v>0</v>
      </c>
      <c r="I35" s="4" t="n">
        <v>30731.18</v>
      </c>
      <c r="J35" s="4" t="n">
        <v>30731.18</v>
      </c>
    </row>
    <row r="36">
      <c r="A36" s="2" t="inlineStr">
        <is>
          <t>2025-03-12</t>
        </is>
      </c>
      <c r="B36" s="2" t="n">
        <v>3</v>
      </c>
      <c r="C36" s="2" t="inlineStr">
        <is>
          <t>FV</t>
        </is>
      </c>
      <c r="D36" s="2" t="inlineStr">
        <is>
          <t>CC1000</t>
        </is>
      </c>
      <c r="E36" s="2" t="inlineStr">
        <is>
          <t>P03</t>
        </is>
      </c>
      <c r="F36" s="2" t="inlineStr">
        <is>
          <t>701000</t>
        </is>
      </c>
      <c r="G36" s="3" t="inlineStr">
        <is>
          <t>Ventes P03 mois 03/2025</t>
        </is>
      </c>
      <c r="H36" s="4" t="n">
        <v>0</v>
      </c>
      <c r="I36" s="4" t="n">
        <v>20634.45</v>
      </c>
      <c r="J36" s="4" t="n">
        <v>20634.45</v>
      </c>
    </row>
    <row r="37">
      <c r="A37" s="2" t="inlineStr">
        <is>
          <t>2025-03-12</t>
        </is>
      </c>
      <c r="B37" s="2" t="n">
        <v>3</v>
      </c>
      <c r="C37" s="2" t="inlineStr">
        <is>
          <t>FA</t>
        </is>
      </c>
      <c r="D37" s="2" t="inlineStr">
        <is>
          <t>CC2000</t>
        </is>
      </c>
      <c r="E37" s="2" t="inlineStr">
        <is>
          <t>P03</t>
        </is>
      </c>
      <c r="F37" s="2" t="inlineStr">
        <is>
          <t>601000</t>
        </is>
      </c>
      <c r="G37" s="3" t="inlineStr">
        <is>
          <t>Achats marchandises P03 mois 03/2025</t>
        </is>
      </c>
      <c r="H37" s="4" t="n">
        <v>11411.11</v>
      </c>
      <c r="I37" s="4" t="n">
        <v>0</v>
      </c>
      <c r="J37" s="4" t="n">
        <v>-11411.11</v>
      </c>
    </row>
    <row r="38">
      <c r="A38" s="2" t="inlineStr">
        <is>
          <t>2025-03-15</t>
        </is>
      </c>
      <c r="B38" s="2" t="n">
        <v>3</v>
      </c>
      <c r="C38" s="2" t="inlineStr">
        <is>
          <t>FA</t>
        </is>
      </c>
      <c r="D38" s="2" t="inlineStr">
        <is>
          <t>CC2000</t>
        </is>
      </c>
      <c r="E38" s="2" t="inlineStr">
        <is>
          <t>P02</t>
        </is>
      </c>
      <c r="F38" s="2" t="inlineStr">
        <is>
          <t>601000</t>
        </is>
      </c>
      <c r="G38" s="3" t="inlineStr">
        <is>
          <t>Achats marchandises P02 mois 03/2025</t>
        </is>
      </c>
      <c r="H38" s="4" t="n">
        <v>14034.98</v>
      </c>
      <c r="I38" s="4" t="n">
        <v>0</v>
      </c>
      <c r="J38" s="4" t="n">
        <v>-14034.98</v>
      </c>
    </row>
    <row r="39">
      <c r="A39" s="2" t="inlineStr">
        <is>
          <t>2025-03-18</t>
        </is>
      </c>
      <c r="B39" s="2" t="n">
        <v>3</v>
      </c>
      <c r="C39" s="2" t="inlineStr">
        <is>
          <t>SA</t>
        </is>
      </c>
      <c r="D39" s="2" t="inlineStr">
        <is>
          <t>CC1000</t>
        </is>
      </c>
      <c r="E39" s="2" t="inlineStr"/>
      <c r="F39" s="2" t="inlineStr">
        <is>
          <t>613000</t>
        </is>
      </c>
      <c r="G39" s="3" t="inlineStr">
        <is>
          <t>Loyer et charges locatives</t>
        </is>
      </c>
      <c r="H39" s="4" t="n">
        <v>8568.84</v>
      </c>
      <c r="I39" s="4" t="n">
        <v>0</v>
      </c>
      <c r="J39" s="4" t="n">
        <v>-8568.84</v>
      </c>
    </row>
    <row r="40">
      <c r="A40" s="2" t="inlineStr">
        <is>
          <t>2025-03-20</t>
        </is>
      </c>
      <c r="B40" s="2" t="n">
        <v>3</v>
      </c>
      <c r="C40" s="2" t="inlineStr">
        <is>
          <t>SA</t>
        </is>
      </c>
      <c r="D40" s="2" t="inlineStr">
        <is>
          <t>CC1000</t>
        </is>
      </c>
      <c r="E40" s="2" t="inlineStr"/>
      <c r="F40" s="2" t="inlineStr">
        <is>
          <t>641000</t>
        </is>
      </c>
      <c r="G40" s="3" t="inlineStr">
        <is>
          <t>Salaires et charges sociales</t>
        </is>
      </c>
      <c r="H40" s="4" t="n">
        <v>22195.41</v>
      </c>
      <c r="I40" s="4" t="n">
        <v>0</v>
      </c>
      <c r="J40" s="4" t="n">
        <v>-22195.41</v>
      </c>
    </row>
    <row r="41">
      <c r="A41" s="2" t="inlineStr">
        <is>
          <t>2025-03-21</t>
        </is>
      </c>
      <c r="B41" s="2" t="n">
        <v>3</v>
      </c>
      <c r="C41" s="2" t="inlineStr">
        <is>
          <t>SA</t>
        </is>
      </c>
      <c r="D41" s="2" t="inlineStr">
        <is>
          <t>CC2000</t>
        </is>
      </c>
      <c r="E41" s="2" t="inlineStr"/>
      <c r="F41" s="2" t="inlineStr">
        <is>
          <t>624000</t>
        </is>
      </c>
      <c r="G41" s="3" t="inlineStr">
        <is>
          <t>Transport et logistique mois 03/2025</t>
        </is>
      </c>
      <c r="H41" s="4" t="n">
        <v>2613.01</v>
      </c>
      <c r="I41" s="4" t="n">
        <v>0</v>
      </c>
      <c r="J41" s="4" t="n">
        <v>-2613.01</v>
      </c>
    </row>
    <row r="42">
      <c r="A42" s="2" t="inlineStr">
        <is>
          <t>2025-03-22</t>
        </is>
      </c>
      <c r="B42" s="2" t="n">
        <v>3</v>
      </c>
      <c r="C42" s="2" t="inlineStr">
        <is>
          <t>FA</t>
        </is>
      </c>
      <c r="D42" s="2" t="inlineStr">
        <is>
          <t>CC2000</t>
        </is>
      </c>
      <c r="E42" s="2" t="inlineStr">
        <is>
          <t>P04</t>
        </is>
      </c>
      <c r="F42" s="2" t="inlineStr">
        <is>
          <t>601000</t>
        </is>
      </c>
      <c r="G42" s="3" t="inlineStr">
        <is>
          <t>Achats marchandises P04 mois 03/2025</t>
        </is>
      </c>
      <c r="H42" s="4" t="n">
        <v>7827.39</v>
      </c>
      <c r="I42" s="4" t="n">
        <v>0</v>
      </c>
      <c r="J42" s="4" t="n">
        <v>-7827.39</v>
      </c>
    </row>
    <row r="43">
      <c r="A43" s="2" t="inlineStr">
        <is>
          <t>2025-03-28</t>
        </is>
      </c>
      <c r="B43" s="2" t="n">
        <v>3</v>
      </c>
      <c r="C43" s="2" t="inlineStr">
        <is>
          <t>FA</t>
        </is>
      </c>
      <c r="D43" s="2" t="inlineStr">
        <is>
          <t>CC2000</t>
        </is>
      </c>
      <c r="E43" s="2" t="inlineStr">
        <is>
          <t>P01</t>
        </is>
      </c>
      <c r="F43" s="2" t="inlineStr">
        <is>
          <t>601000</t>
        </is>
      </c>
      <c r="G43" s="3" t="inlineStr">
        <is>
          <t>Achats marchandises P01 mois 03/2025</t>
        </is>
      </c>
      <c r="H43" s="4" t="n">
        <v>19017</v>
      </c>
      <c r="I43" s="4" t="n">
        <v>0</v>
      </c>
      <c r="J43" s="4" t="n">
        <v>-19017</v>
      </c>
    </row>
    <row r="44">
      <c r="A44" s="2" t="inlineStr">
        <is>
          <t>2025-04-02</t>
        </is>
      </c>
      <c r="B44" s="2" t="n">
        <v>4</v>
      </c>
      <c r="C44" s="2" t="inlineStr">
        <is>
          <t>FA</t>
        </is>
      </c>
      <c r="D44" s="2" t="inlineStr">
        <is>
          <t>CC2000</t>
        </is>
      </c>
      <c r="E44" s="2" t="inlineStr">
        <is>
          <t>P01</t>
        </is>
      </c>
      <c r="F44" s="2" t="inlineStr">
        <is>
          <t>601000</t>
        </is>
      </c>
      <c r="G44" s="3" t="inlineStr">
        <is>
          <t>Achats marchandises P01 mois 04/2025</t>
        </is>
      </c>
      <c r="H44" s="4" t="n">
        <v>21066.25</v>
      </c>
      <c r="I44" s="4" t="n">
        <v>0</v>
      </c>
      <c r="J44" s="4" t="n">
        <v>-21066.25</v>
      </c>
    </row>
    <row r="45">
      <c r="A45" s="2" t="inlineStr">
        <is>
          <t>2025-04-02</t>
        </is>
      </c>
      <c r="B45" s="2" t="n">
        <v>4</v>
      </c>
      <c r="C45" s="2" t="inlineStr">
        <is>
          <t>FV</t>
        </is>
      </c>
      <c r="D45" s="2" t="inlineStr">
        <is>
          <t>CC1000</t>
        </is>
      </c>
      <c r="E45" s="2" t="inlineStr">
        <is>
          <t>P02</t>
        </is>
      </c>
      <c r="F45" s="2" t="inlineStr">
        <is>
          <t>701000</t>
        </is>
      </c>
      <c r="G45" s="3" t="inlineStr">
        <is>
          <t>Ventes P02 mois 04/2025</t>
        </is>
      </c>
      <c r="H45" s="4" t="n">
        <v>0</v>
      </c>
      <c r="I45" s="4" t="n">
        <v>26036.12</v>
      </c>
      <c r="J45" s="4" t="n">
        <v>26036.12</v>
      </c>
    </row>
    <row r="46">
      <c r="A46" s="2" t="inlineStr">
        <is>
          <t>2025-04-05</t>
        </is>
      </c>
      <c r="B46" s="2" t="n">
        <v>4</v>
      </c>
      <c r="C46" s="2" t="inlineStr">
        <is>
          <t>SA</t>
        </is>
      </c>
      <c r="D46" s="2" t="inlineStr">
        <is>
          <t>CC1000</t>
        </is>
      </c>
      <c r="E46" s="2" t="inlineStr"/>
      <c r="F46" s="2" t="inlineStr">
        <is>
          <t>613000</t>
        </is>
      </c>
      <c r="G46" s="3" t="inlineStr">
        <is>
          <t>Loyer et charges locatives</t>
        </is>
      </c>
      <c r="H46" s="4" t="n">
        <v>8572.85</v>
      </c>
      <c r="I46" s="4" t="n">
        <v>0</v>
      </c>
      <c r="J46" s="4" t="n">
        <v>-8572.85</v>
      </c>
    </row>
    <row r="47">
      <c r="A47" s="2" t="inlineStr">
        <is>
          <t>2025-04-07</t>
        </is>
      </c>
      <c r="B47" s="2" t="n">
        <v>4</v>
      </c>
      <c r="C47" s="2" t="inlineStr">
        <is>
          <t>FV</t>
        </is>
      </c>
      <c r="D47" s="2" t="inlineStr">
        <is>
          <t>CC1000</t>
        </is>
      </c>
      <c r="E47" s="2" t="inlineStr">
        <is>
          <t>P03</t>
        </is>
      </c>
      <c r="F47" s="2" t="inlineStr">
        <is>
          <t>701000</t>
        </is>
      </c>
      <c r="G47" s="3" t="inlineStr">
        <is>
          <t>Ventes P03 mois 04/2025</t>
        </is>
      </c>
      <c r="H47" s="4" t="n">
        <v>0</v>
      </c>
      <c r="I47" s="4" t="n">
        <v>20589.34</v>
      </c>
      <c r="J47" s="4" t="n">
        <v>20589.34</v>
      </c>
    </row>
    <row r="48">
      <c r="A48" s="2" t="inlineStr">
        <is>
          <t>2025-04-08</t>
        </is>
      </c>
      <c r="B48" s="2" t="n">
        <v>4</v>
      </c>
      <c r="C48" s="2" t="inlineStr">
        <is>
          <t>SA</t>
        </is>
      </c>
      <c r="D48" s="2" t="inlineStr">
        <is>
          <t>CC4000</t>
        </is>
      </c>
      <c r="E48" s="2" t="inlineStr"/>
      <c r="F48" s="2" t="inlineStr">
        <is>
          <t>641001</t>
        </is>
      </c>
      <c r="G48" s="3" t="inlineStr">
        <is>
          <t>Salaires administration</t>
        </is>
      </c>
      <c r="H48" s="4" t="n">
        <v>6408.3</v>
      </c>
      <c r="I48" s="4" t="n">
        <v>0</v>
      </c>
      <c r="J48" s="4" t="n">
        <v>-6408.3</v>
      </c>
    </row>
    <row r="49">
      <c r="A49" s="2" t="inlineStr">
        <is>
          <t>2025-04-11</t>
        </is>
      </c>
      <c r="B49" s="2" t="n">
        <v>4</v>
      </c>
      <c r="C49" s="2" t="inlineStr">
        <is>
          <t>FV</t>
        </is>
      </c>
      <c r="D49" s="2" t="inlineStr">
        <is>
          <t>CC1000</t>
        </is>
      </c>
      <c r="E49" s="2" t="inlineStr">
        <is>
          <t>P04</t>
        </is>
      </c>
      <c r="F49" s="2" t="inlineStr">
        <is>
          <t>701000</t>
        </is>
      </c>
      <c r="G49" s="3" t="inlineStr">
        <is>
          <t>Ventes P04 mois 04/2025</t>
        </is>
      </c>
      <c r="H49" s="4" t="n">
        <v>0</v>
      </c>
      <c r="I49" s="4" t="n">
        <v>15457.99</v>
      </c>
      <c r="J49" s="4" t="n">
        <v>15457.99</v>
      </c>
    </row>
    <row r="50">
      <c r="A50" s="2" t="inlineStr">
        <is>
          <t>2025-04-13</t>
        </is>
      </c>
      <c r="B50" s="2" t="n">
        <v>4</v>
      </c>
      <c r="C50" s="2" t="inlineStr">
        <is>
          <t>FA</t>
        </is>
      </c>
      <c r="D50" s="2" t="inlineStr">
        <is>
          <t>CC2000</t>
        </is>
      </c>
      <c r="E50" s="2" t="inlineStr">
        <is>
          <t>P02</t>
        </is>
      </c>
      <c r="F50" s="2" t="inlineStr">
        <is>
          <t>601000</t>
        </is>
      </c>
      <c r="G50" s="3" t="inlineStr">
        <is>
          <t>Achats marchandises P02 mois 04/2025</t>
        </is>
      </c>
      <c r="H50" s="4" t="n">
        <v>15736.33</v>
      </c>
      <c r="I50" s="4" t="n">
        <v>0</v>
      </c>
      <c r="J50" s="4" t="n">
        <v>-15736.33</v>
      </c>
    </row>
    <row r="51">
      <c r="A51" s="2" t="inlineStr">
        <is>
          <t>2025-04-16</t>
        </is>
      </c>
      <c r="B51" s="2" t="n">
        <v>4</v>
      </c>
      <c r="C51" s="2" t="inlineStr">
        <is>
          <t>FA</t>
        </is>
      </c>
      <c r="D51" s="2" t="inlineStr">
        <is>
          <t>CC2000</t>
        </is>
      </c>
      <c r="E51" s="2" t="inlineStr">
        <is>
          <t>P04</t>
        </is>
      </c>
      <c r="F51" s="2" t="inlineStr">
        <is>
          <t>601000</t>
        </is>
      </c>
      <c r="G51" s="3" t="inlineStr">
        <is>
          <t>Achats marchandises P04 mois 04/2025</t>
        </is>
      </c>
      <c r="H51" s="4" t="n">
        <v>8610.26</v>
      </c>
      <c r="I51" s="4" t="n">
        <v>0</v>
      </c>
      <c r="J51" s="4" t="n">
        <v>-8610.26</v>
      </c>
    </row>
    <row r="52">
      <c r="A52" s="2" t="inlineStr">
        <is>
          <t>2025-04-18</t>
        </is>
      </c>
      <c r="B52" s="2" t="n">
        <v>4</v>
      </c>
      <c r="C52" s="2" t="inlineStr">
        <is>
          <t>SA</t>
        </is>
      </c>
      <c r="D52" s="2" t="inlineStr">
        <is>
          <t>CC3000</t>
        </is>
      </c>
      <c r="E52" s="2" t="inlineStr"/>
      <c r="F52" s="2" t="inlineStr">
        <is>
          <t>623000</t>
        </is>
      </c>
      <c r="G52" s="3" t="inlineStr">
        <is>
          <t>Publicité et marketing mois 04/2025</t>
        </is>
      </c>
      <c r="H52" s="4" t="n">
        <v>3091.67</v>
      </c>
      <c r="I52" s="4" t="n">
        <v>0</v>
      </c>
      <c r="J52" s="4" t="n">
        <v>-3091.67</v>
      </c>
    </row>
    <row r="53">
      <c r="A53" s="2" t="inlineStr">
        <is>
          <t>2025-04-19</t>
        </is>
      </c>
      <c r="B53" s="2" t="n">
        <v>4</v>
      </c>
      <c r="C53" s="2" t="inlineStr">
        <is>
          <t>FA</t>
        </is>
      </c>
      <c r="D53" s="2" t="inlineStr">
        <is>
          <t>CC2000</t>
        </is>
      </c>
      <c r="E53" s="2" t="inlineStr">
        <is>
          <t>P03</t>
        </is>
      </c>
      <c r="F53" s="2" t="inlineStr">
        <is>
          <t>601000</t>
        </is>
      </c>
      <c r="G53" s="3" t="inlineStr">
        <is>
          <t>Achats marchandises P03 mois 04/2025</t>
        </is>
      </c>
      <c r="H53" s="4" t="n">
        <v>12622.31</v>
      </c>
      <c r="I53" s="4" t="n">
        <v>0</v>
      </c>
      <c r="J53" s="4" t="n">
        <v>-12622.31</v>
      </c>
    </row>
    <row r="54">
      <c r="A54" s="2" t="inlineStr">
        <is>
          <t>2025-04-19</t>
        </is>
      </c>
      <c r="B54" s="2" t="n">
        <v>4</v>
      </c>
      <c r="C54" s="2" t="inlineStr">
        <is>
          <t>SA</t>
        </is>
      </c>
      <c r="D54" s="2" t="inlineStr">
        <is>
          <t>CC2000</t>
        </is>
      </c>
      <c r="E54" s="2" t="inlineStr"/>
      <c r="F54" s="2" t="inlineStr">
        <is>
          <t>624000</t>
        </is>
      </c>
      <c r="G54" s="3" t="inlineStr">
        <is>
          <t>Transport et logistique mois 04/2025</t>
        </is>
      </c>
      <c r="H54" s="4" t="n">
        <v>2400.42</v>
      </c>
      <c r="I54" s="4" t="n">
        <v>0</v>
      </c>
      <c r="J54" s="4" t="n">
        <v>-2400.42</v>
      </c>
    </row>
    <row r="55">
      <c r="A55" s="2" t="inlineStr">
        <is>
          <t>2025-04-19</t>
        </is>
      </c>
      <c r="B55" s="2" t="n">
        <v>4</v>
      </c>
      <c r="C55" s="2" t="inlineStr">
        <is>
          <t>SA</t>
        </is>
      </c>
      <c r="D55" s="2" t="inlineStr">
        <is>
          <t>CC4000</t>
        </is>
      </c>
      <c r="E55" s="2" t="inlineStr"/>
      <c r="F55" s="2" t="inlineStr">
        <is>
          <t>627000</t>
        </is>
      </c>
      <c r="G55" s="3" t="inlineStr">
        <is>
          <t>Frais bancaires et divers mois 04/2025</t>
        </is>
      </c>
      <c r="H55" s="4" t="n">
        <v>614.22</v>
      </c>
      <c r="I55" s="4" t="n">
        <v>0</v>
      </c>
      <c r="J55" s="4" t="n">
        <v>-614.22</v>
      </c>
    </row>
    <row r="56">
      <c r="A56" s="2" t="inlineStr">
        <is>
          <t>2025-04-27</t>
        </is>
      </c>
      <c r="B56" s="2" t="n">
        <v>4</v>
      </c>
      <c r="C56" s="2" t="inlineStr">
        <is>
          <t>FV</t>
        </is>
      </c>
      <c r="D56" s="2" t="inlineStr">
        <is>
          <t>CC1000</t>
        </is>
      </c>
      <c r="E56" s="2" t="inlineStr">
        <is>
          <t>P01</t>
        </is>
      </c>
      <c r="F56" s="2" t="inlineStr">
        <is>
          <t>701000</t>
        </is>
      </c>
      <c r="G56" s="3" t="inlineStr">
        <is>
          <t>Ventes P01 mois 04/2025</t>
        </is>
      </c>
      <c r="H56" s="4" t="n">
        <v>0</v>
      </c>
      <c r="I56" s="4" t="n">
        <v>35024.89</v>
      </c>
      <c r="J56" s="4" t="n">
        <v>35024.89</v>
      </c>
    </row>
    <row r="57">
      <c r="A57" s="2" t="inlineStr">
        <is>
          <t>2025-04-30</t>
        </is>
      </c>
      <c r="B57" s="2" t="n">
        <v>4</v>
      </c>
      <c r="C57" s="2" t="inlineStr">
        <is>
          <t>SA</t>
        </is>
      </c>
      <c r="D57" s="2" t="inlineStr">
        <is>
          <t>CC1000</t>
        </is>
      </c>
      <c r="E57" s="2" t="inlineStr"/>
      <c r="F57" s="2" t="inlineStr">
        <is>
          <t>641000</t>
        </is>
      </c>
      <c r="G57" s="3" t="inlineStr">
        <is>
          <t>Salaires et charges sociales</t>
        </is>
      </c>
      <c r="H57" s="4" t="n">
        <v>21862.23</v>
      </c>
      <c r="I57" s="4" t="n">
        <v>0</v>
      </c>
      <c r="J57" s="4" t="n">
        <v>-21862.23</v>
      </c>
    </row>
    <row r="58">
      <c r="A58" s="2" t="inlineStr">
        <is>
          <t>2025-05-01</t>
        </is>
      </c>
      <c r="B58" s="2" t="n">
        <v>5</v>
      </c>
      <c r="C58" s="2" t="inlineStr">
        <is>
          <t>SA</t>
        </is>
      </c>
      <c r="D58" s="2" t="inlineStr">
        <is>
          <t>CC4000</t>
        </is>
      </c>
      <c r="E58" s="2" t="inlineStr"/>
      <c r="F58" s="2" t="inlineStr">
        <is>
          <t>641001</t>
        </is>
      </c>
      <c r="G58" s="3" t="inlineStr">
        <is>
          <t>Salaires administration</t>
        </is>
      </c>
      <c r="H58" s="4" t="n">
        <v>6640.7</v>
      </c>
      <c r="I58" s="4" t="n">
        <v>0</v>
      </c>
      <c r="J58" s="4" t="n">
        <v>-6640.7</v>
      </c>
    </row>
    <row r="59">
      <c r="A59" s="2" t="inlineStr">
        <is>
          <t>2025-05-03</t>
        </is>
      </c>
      <c r="B59" s="2" t="n">
        <v>5</v>
      </c>
      <c r="C59" s="2" t="inlineStr">
        <is>
          <t>FV</t>
        </is>
      </c>
      <c r="D59" s="2" t="inlineStr">
        <is>
          <t>CC1000</t>
        </is>
      </c>
      <c r="E59" s="2" t="inlineStr">
        <is>
          <t>P02</t>
        </is>
      </c>
      <c r="F59" s="2" t="inlineStr">
        <is>
          <t>701000</t>
        </is>
      </c>
      <c r="G59" s="3" t="inlineStr">
        <is>
          <t>Ventes P02 mois 05/2025</t>
        </is>
      </c>
      <c r="H59" s="4" t="n">
        <v>0</v>
      </c>
      <c r="I59" s="4" t="n">
        <v>28771.79</v>
      </c>
      <c r="J59" s="4" t="n">
        <v>28771.79</v>
      </c>
    </row>
    <row r="60">
      <c r="A60" s="2" t="inlineStr">
        <is>
          <t>2025-05-03</t>
        </is>
      </c>
      <c r="B60" s="2" t="n">
        <v>5</v>
      </c>
      <c r="C60" s="2" t="inlineStr">
        <is>
          <t>FV</t>
        </is>
      </c>
      <c r="D60" s="2" t="inlineStr">
        <is>
          <t>CC1000</t>
        </is>
      </c>
      <c r="E60" s="2" t="inlineStr">
        <is>
          <t>P04</t>
        </is>
      </c>
      <c r="F60" s="2" t="inlineStr">
        <is>
          <t>701000</t>
        </is>
      </c>
      <c r="G60" s="3" t="inlineStr">
        <is>
          <t>Ventes P04 mois 05/2025</t>
        </is>
      </c>
      <c r="H60" s="4" t="n">
        <v>0</v>
      </c>
      <c r="I60" s="4" t="n">
        <v>15198.33</v>
      </c>
      <c r="J60" s="4" t="n">
        <v>15198.33</v>
      </c>
    </row>
    <row r="61">
      <c r="A61" s="2" t="inlineStr">
        <is>
          <t>2025-05-04</t>
        </is>
      </c>
      <c r="B61" s="2" t="n">
        <v>5</v>
      </c>
      <c r="C61" s="2" t="inlineStr">
        <is>
          <t>SA</t>
        </is>
      </c>
      <c r="D61" s="2" t="inlineStr">
        <is>
          <t>CC3000</t>
        </is>
      </c>
      <c r="E61" s="2" t="inlineStr"/>
      <c r="F61" s="2" t="inlineStr">
        <is>
          <t>623000</t>
        </is>
      </c>
      <c r="G61" s="3" t="inlineStr">
        <is>
          <t>Publicité et marketing mois 05/2025</t>
        </is>
      </c>
      <c r="H61" s="4" t="n">
        <v>3204.42</v>
      </c>
      <c r="I61" s="4" t="n">
        <v>0</v>
      </c>
      <c r="J61" s="4" t="n">
        <v>-3204.42</v>
      </c>
    </row>
    <row r="62">
      <c r="A62" s="2" t="inlineStr">
        <is>
          <t>2025-05-05</t>
        </is>
      </c>
      <c r="B62" s="2" t="n">
        <v>5</v>
      </c>
      <c r="C62" s="2" t="inlineStr">
        <is>
          <t>FA</t>
        </is>
      </c>
      <c r="D62" s="2" t="inlineStr">
        <is>
          <t>CC2000</t>
        </is>
      </c>
      <c r="E62" s="2" t="inlineStr">
        <is>
          <t>P01</t>
        </is>
      </c>
      <c r="F62" s="2" t="inlineStr">
        <is>
          <t>601000</t>
        </is>
      </c>
      <c r="G62" s="3" t="inlineStr">
        <is>
          <t>Achats marchandises P01 mois 05/2025</t>
        </is>
      </c>
      <c r="H62" s="4" t="n">
        <v>21898.28</v>
      </c>
      <c r="I62" s="4" t="n">
        <v>0</v>
      </c>
      <c r="J62" s="4" t="n">
        <v>-21898.28</v>
      </c>
    </row>
    <row r="63">
      <c r="A63" s="2" t="inlineStr">
        <is>
          <t>2025-05-08</t>
        </is>
      </c>
      <c r="B63" s="2" t="n">
        <v>5</v>
      </c>
      <c r="C63" s="2" t="inlineStr">
        <is>
          <t>FV</t>
        </is>
      </c>
      <c r="D63" s="2" t="inlineStr">
        <is>
          <t>CC1000</t>
        </is>
      </c>
      <c r="E63" s="2" t="inlineStr">
        <is>
          <t>P01</t>
        </is>
      </c>
      <c r="F63" s="2" t="inlineStr">
        <is>
          <t>701000</t>
        </is>
      </c>
      <c r="G63" s="3" t="inlineStr">
        <is>
          <t>Ventes P01 mois 05/2025</t>
        </is>
      </c>
      <c r="H63" s="4" t="n">
        <v>0</v>
      </c>
      <c r="I63" s="4" t="n">
        <v>35332</v>
      </c>
      <c r="J63" s="4" t="n">
        <v>35332</v>
      </c>
    </row>
    <row r="64">
      <c r="A64" s="2" t="inlineStr">
        <is>
          <t>2025-05-17</t>
        </is>
      </c>
      <c r="B64" s="2" t="n">
        <v>5</v>
      </c>
      <c r="C64" s="2" t="inlineStr">
        <is>
          <t>SA</t>
        </is>
      </c>
      <c r="D64" s="2" t="inlineStr">
        <is>
          <t>CC1000</t>
        </is>
      </c>
      <c r="E64" s="2" t="inlineStr"/>
      <c r="F64" s="2" t="inlineStr">
        <is>
          <t>641000</t>
        </is>
      </c>
      <c r="G64" s="3" t="inlineStr">
        <is>
          <t>Salaires et charges sociales</t>
        </is>
      </c>
      <c r="H64" s="4" t="n">
        <v>22654.88</v>
      </c>
      <c r="I64" s="4" t="n">
        <v>0</v>
      </c>
      <c r="J64" s="4" t="n">
        <v>-22654.88</v>
      </c>
    </row>
    <row r="65">
      <c r="A65" s="2" t="inlineStr">
        <is>
          <t>2025-05-18</t>
        </is>
      </c>
      <c r="B65" s="2" t="n">
        <v>5</v>
      </c>
      <c r="C65" s="2" t="inlineStr">
        <is>
          <t>SA</t>
        </is>
      </c>
      <c r="D65" s="2" t="inlineStr">
        <is>
          <t>CC1000</t>
        </is>
      </c>
      <c r="E65" s="2" t="inlineStr"/>
      <c r="F65" s="2" t="inlineStr">
        <is>
          <t>613000</t>
        </is>
      </c>
      <c r="G65" s="3" t="inlineStr">
        <is>
          <t>Loyer et charges locatives</t>
        </is>
      </c>
      <c r="H65" s="4" t="n">
        <v>8373.219999999999</v>
      </c>
      <c r="I65" s="4" t="n">
        <v>0</v>
      </c>
      <c r="J65" s="4" t="n">
        <v>-8373.219999999999</v>
      </c>
    </row>
    <row r="66">
      <c r="A66" s="2" t="inlineStr">
        <is>
          <t>2025-05-18</t>
        </is>
      </c>
      <c r="B66" s="2" t="n">
        <v>5</v>
      </c>
      <c r="C66" s="2" t="inlineStr">
        <is>
          <t>SA</t>
        </is>
      </c>
      <c r="D66" s="2" t="inlineStr">
        <is>
          <t>CC2000</t>
        </is>
      </c>
      <c r="E66" s="2" t="inlineStr"/>
      <c r="F66" s="2" t="inlineStr">
        <is>
          <t>624000</t>
        </is>
      </c>
      <c r="G66" s="3" t="inlineStr">
        <is>
          <t>Transport et logistique mois 05/2025</t>
        </is>
      </c>
      <c r="H66" s="4" t="n">
        <v>2756.67</v>
      </c>
      <c r="I66" s="4" t="n">
        <v>0</v>
      </c>
      <c r="J66" s="4" t="n">
        <v>-2756.67</v>
      </c>
    </row>
    <row r="67">
      <c r="A67" s="2" t="inlineStr">
        <is>
          <t>2025-05-20</t>
        </is>
      </c>
      <c r="B67" s="2" t="n">
        <v>5</v>
      </c>
      <c r="C67" s="2" t="inlineStr">
        <is>
          <t>FA</t>
        </is>
      </c>
      <c r="D67" s="2" t="inlineStr">
        <is>
          <t>CC2000</t>
        </is>
      </c>
      <c r="E67" s="2" t="inlineStr">
        <is>
          <t>P04</t>
        </is>
      </c>
      <c r="F67" s="2" t="inlineStr">
        <is>
          <t>601000</t>
        </is>
      </c>
      <c r="G67" s="3" t="inlineStr">
        <is>
          <t>Achats marchandises P04 mois 05/2025</t>
        </is>
      </c>
      <c r="H67" s="4" t="n">
        <v>8674.92</v>
      </c>
      <c r="I67" s="4" t="n">
        <v>0</v>
      </c>
      <c r="J67" s="4" t="n">
        <v>-8674.92</v>
      </c>
    </row>
    <row r="68">
      <c r="A68" s="2" t="inlineStr">
        <is>
          <t>2025-05-21</t>
        </is>
      </c>
      <c r="B68" s="2" t="n">
        <v>5</v>
      </c>
      <c r="C68" s="2" t="inlineStr">
        <is>
          <t>FV</t>
        </is>
      </c>
      <c r="D68" s="2" t="inlineStr">
        <is>
          <t>CC1000</t>
        </is>
      </c>
      <c r="E68" s="2" t="inlineStr">
        <is>
          <t>P03</t>
        </is>
      </c>
      <c r="F68" s="2" t="inlineStr">
        <is>
          <t>701000</t>
        </is>
      </c>
      <c r="G68" s="3" t="inlineStr">
        <is>
          <t>Ventes P03 mois 05/2025</t>
        </is>
      </c>
      <c r="H68" s="4" t="n">
        <v>0</v>
      </c>
      <c r="I68" s="4" t="n">
        <v>21162.24</v>
      </c>
      <c r="J68" s="4" t="n">
        <v>21162.24</v>
      </c>
    </row>
    <row r="69">
      <c r="A69" s="2" t="inlineStr">
        <is>
          <t>2025-05-22</t>
        </is>
      </c>
      <c r="B69" s="2" t="n">
        <v>5</v>
      </c>
      <c r="C69" s="2" t="inlineStr">
        <is>
          <t>FA</t>
        </is>
      </c>
      <c r="D69" s="2" t="inlineStr">
        <is>
          <t>CC2000</t>
        </is>
      </c>
      <c r="E69" s="2" t="inlineStr">
        <is>
          <t>P03</t>
        </is>
      </c>
      <c r="F69" s="2" t="inlineStr">
        <is>
          <t>601000</t>
        </is>
      </c>
      <c r="G69" s="3" t="inlineStr">
        <is>
          <t>Achats marchandises P03 mois 05/2025</t>
        </is>
      </c>
      <c r="H69" s="4" t="n">
        <v>11698.46</v>
      </c>
      <c r="I69" s="4" t="n">
        <v>0</v>
      </c>
      <c r="J69" s="4" t="n">
        <v>-11698.46</v>
      </c>
    </row>
    <row r="70">
      <c r="A70" s="2" t="inlineStr">
        <is>
          <t>2025-05-25</t>
        </is>
      </c>
      <c r="B70" s="2" t="n">
        <v>5</v>
      </c>
      <c r="C70" s="2" t="inlineStr">
        <is>
          <t>SA</t>
        </is>
      </c>
      <c r="D70" s="2" t="inlineStr">
        <is>
          <t>CC4000</t>
        </is>
      </c>
      <c r="E70" s="2" t="inlineStr"/>
      <c r="F70" s="2" t="inlineStr">
        <is>
          <t>627000</t>
        </is>
      </c>
      <c r="G70" s="3" t="inlineStr">
        <is>
          <t>Frais bancaires et divers mois 05/2025</t>
        </is>
      </c>
      <c r="H70" s="4" t="n">
        <v>775.4400000000001</v>
      </c>
      <c r="I70" s="4" t="n">
        <v>0</v>
      </c>
      <c r="J70" s="4" t="n">
        <v>-775.4400000000001</v>
      </c>
    </row>
    <row r="71">
      <c r="A71" s="2" t="inlineStr">
        <is>
          <t>2025-05-28</t>
        </is>
      </c>
      <c r="B71" s="2" t="n">
        <v>5</v>
      </c>
      <c r="C71" s="2" t="inlineStr">
        <is>
          <t>FA</t>
        </is>
      </c>
      <c r="D71" s="2" t="inlineStr">
        <is>
          <t>CC2000</t>
        </is>
      </c>
      <c r="E71" s="2" t="inlineStr">
        <is>
          <t>P02</t>
        </is>
      </c>
      <c r="F71" s="2" t="inlineStr">
        <is>
          <t>601000</t>
        </is>
      </c>
      <c r="G71" s="3" t="inlineStr">
        <is>
          <t>Achats marchandises P02 mois 05/2025</t>
        </is>
      </c>
      <c r="H71" s="4" t="n">
        <v>17276.38</v>
      </c>
      <c r="I71" s="4" t="n">
        <v>0</v>
      </c>
      <c r="J71" s="4" t="n">
        <v>-17276.38</v>
      </c>
    </row>
    <row r="72">
      <c r="A72" s="2" t="inlineStr">
        <is>
          <t>2025-06-04</t>
        </is>
      </c>
      <c r="B72" s="2" t="n">
        <v>6</v>
      </c>
      <c r="C72" s="2" t="inlineStr">
        <is>
          <t>FV</t>
        </is>
      </c>
      <c r="D72" s="2" t="inlineStr">
        <is>
          <t>CC1000</t>
        </is>
      </c>
      <c r="E72" s="2" t="inlineStr">
        <is>
          <t>P01</t>
        </is>
      </c>
      <c r="F72" s="2" t="inlineStr">
        <is>
          <t>701000</t>
        </is>
      </c>
      <c r="G72" s="3" t="inlineStr">
        <is>
          <t>Ventes P01 mois 06/2025</t>
        </is>
      </c>
      <c r="H72" s="4" t="n">
        <v>0</v>
      </c>
      <c r="I72" s="4" t="n">
        <v>34014.23</v>
      </c>
      <c r="J72" s="4" t="n">
        <v>34014.23</v>
      </c>
    </row>
    <row r="73">
      <c r="A73" s="2" t="inlineStr">
        <is>
          <t>2025-06-04</t>
        </is>
      </c>
      <c r="B73" s="2" t="n">
        <v>6</v>
      </c>
      <c r="C73" s="2" t="inlineStr">
        <is>
          <t>SA</t>
        </is>
      </c>
      <c r="D73" s="2" t="inlineStr">
        <is>
          <t>CC4000</t>
        </is>
      </c>
      <c r="E73" s="2" t="inlineStr"/>
      <c r="F73" s="2" t="inlineStr">
        <is>
          <t>627000</t>
        </is>
      </c>
      <c r="G73" s="3" t="inlineStr">
        <is>
          <t>Frais bancaires et divers mois 06/2025</t>
        </is>
      </c>
      <c r="H73" s="4" t="n">
        <v>644.3</v>
      </c>
      <c r="I73" s="4" t="n">
        <v>0</v>
      </c>
      <c r="J73" s="4" t="n">
        <v>-644.3</v>
      </c>
    </row>
    <row r="74">
      <c r="A74" s="2" t="inlineStr">
        <is>
          <t>2025-06-06</t>
        </is>
      </c>
      <c r="B74" s="2" t="n">
        <v>6</v>
      </c>
      <c r="C74" s="2" t="inlineStr">
        <is>
          <t>FA</t>
        </is>
      </c>
      <c r="D74" s="2" t="inlineStr">
        <is>
          <t>CC2000</t>
        </is>
      </c>
      <c r="E74" s="2" t="inlineStr">
        <is>
          <t>P01</t>
        </is>
      </c>
      <c r="F74" s="2" t="inlineStr">
        <is>
          <t>601000</t>
        </is>
      </c>
      <c r="G74" s="3" t="inlineStr">
        <is>
          <t>Achats marchandises P01 mois 06/2025</t>
        </is>
      </c>
      <c r="H74" s="4" t="n">
        <v>19166.34</v>
      </c>
      <c r="I74" s="4" t="n">
        <v>0</v>
      </c>
      <c r="J74" s="4" t="n">
        <v>-19166.34</v>
      </c>
    </row>
    <row r="75">
      <c r="A75" s="2" t="inlineStr">
        <is>
          <t>2025-06-07</t>
        </is>
      </c>
      <c r="B75" s="2" t="n">
        <v>6</v>
      </c>
      <c r="C75" s="2" t="inlineStr">
        <is>
          <t>SA</t>
        </is>
      </c>
      <c r="D75" s="2" t="inlineStr">
        <is>
          <t>CC1000</t>
        </is>
      </c>
      <c r="E75" s="2" t="inlineStr"/>
      <c r="F75" s="2" t="inlineStr">
        <is>
          <t>641000</t>
        </is>
      </c>
      <c r="G75" s="3" t="inlineStr">
        <is>
          <t>Salaires et charges sociales</t>
        </is>
      </c>
      <c r="H75" s="4" t="n">
        <v>22010.12</v>
      </c>
      <c r="I75" s="4" t="n">
        <v>0</v>
      </c>
      <c r="J75" s="4" t="n">
        <v>-22010.12</v>
      </c>
    </row>
    <row r="76">
      <c r="A76" s="2" t="inlineStr">
        <is>
          <t>2025-06-09</t>
        </is>
      </c>
      <c r="B76" s="2" t="n">
        <v>6</v>
      </c>
      <c r="C76" s="2" t="inlineStr">
        <is>
          <t>FA</t>
        </is>
      </c>
      <c r="D76" s="2" t="inlineStr">
        <is>
          <t>CC2000</t>
        </is>
      </c>
      <c r="E76" s="2" t="inlineStr">
        <is>
          <t>P02</t>
        </is>
      </c>
      <c r="F76" s="2" t="inlineStr">
        <is>
          <t>601000</t>
        </is>
      </c>
      <c r="G76" s="3" t="inlineStr">
        <is>
          <t>Achats marchandises P02 mois 06/2025</t>
        </is>
      </c>
      <c r="H76" s="4" t="n">
        <v>16114.45</v>
      </c>
      <c r="I76" s="4" t="n">
        <v>0</v>
      </c>
      <c r="J76" s="4" t="n">
        <v>-16114.45</v>
      </c>
    </row>
    <row r="77">
      <c r="A77" s="2" t="inlineStr">
        <is>
          <t>2025-06-11</t>
        </is>
      </c>
      <c r="B77" s="2" t="n">
        <v>6</v>
      </c>
      <c r="C77" s="2" t="inlineStr">
        <is>
          <t>SA</t>
        </is>
      </c>
      <c r="D77" s="2" t="inlineStr">
        <is>
          <t>CC2000</t>
        </is>
      </c>
      <c r="E77" s="2" t="inlineStr"/>
      <c r="F77" s="2" t="inlineStr">
        <is>
          <t>624000</t>
        </is>
      </c>
      <c r="G77" s="3" t="inlineStr">
        <is>
          <t>Transport et logistique mois 06/2025</t>
        </is>
      </c>
      <c r="H77" s="4" t="n">
        <v>2217.88</v>
      </c>
      <c r="I77" s="4" t="n">
        <v>0</v>
      </c>
      <c r="J77" s="4" t="n">
        <v>-2217.88</v>
      </c>
    </row>
    <row r="78">
      <c r="A78" s="2" t="inlineStr">
        <is>
          <t>2025-06-21</t>
        </is>
      </c>
      <c r="B78" s="2" t="n">
        <v>6</v>
      </c>
      <c r="C78" s="2" t="inlineStr">
        <is>
          <t>FV</t>
        </is>
      </c>
      <c r="D78" s="2" t="inlineStr">
        <is>
          <t>CC1000</t>
        </is>
      </c>
      <c r="E78" s="2" t="inlineStr">
        <is>
          <t>P04</t>
        </is>
      </c>
      <c r="F78" s="2" t="inlineStr">
        <is>
          <t>701000</t>
        </is>
      </c>
      <c r="G78" s="3" t="inlineStr">
        <is>
          <t>Ventes P04 mois 06/2025</t>
        </is>
      </c>
      <c r="H78" s="4" t="n">
        <v>0</v>
      </c>
      <c r="I78" s="4" t="n">
        <v>13358.24</v>
      </c>
      <c r="J78" s="4" t="n">
        <v>13358.24</v>
      </c>
    </row>
    <row r="79">
      <c r="A79" s="2" t="inlineStr">
        <is>
          <t>2025-06-21</t>
        </is>
      </c>
      <c r="B79" s="2" t="n">
        <v>6</v>
      </c>
      <c r="C79" s="2" t="inlineStr">
        <is>
          <t>FA</t>
        </is>
      </c>
      <c r="D79" s="2" t="inlineStr">
        <is>
          <t>CC2000</t>
        </is>
      </c>
      <c r="E79" s="2" t="inlineStr">
        <is>
          <t>P04</t>
        </is>
      </c>
      <c r="F79" s="2" t="inlineStr">
        <is>
          <t>601000</t>
        </is>
      </c>
      <c r="G79" s="3" t="inlineStr">
        <is>
          <t>Achats marchandises P04 mois 06/2025</t>
        </is>
      </c>
      <c r="H79" s="4" t="n">
        <v>7532.39</v>
      </c>
      <c r="I79" s="4" t="n">
        <v>0</v>
      </c>
      <c r="J79" s="4" t="n">
        <v>-7532.39</v>
      </c>
    </row>
    <row r="80">
      <c r="A80" s="2" t="inlineStr">
        <is>
          <t>2025-06-24</t>
        </is>
      </c>
      <c r="B80" s="2" t="n">
        <v>6</v>
      </c>
      <c r="C80" s="2" t="inlineStr">
        <is>
          <t>FV</t>
        </is>
      </c>
      <c r="D80" s="2" t="inlineStr">
        <is>
          <t>CC1000</t>
        </is>
      </c>
      <c r="E80" s="2" t="inlineStr">
        <is>
          <t>P02</t>
        </is>
      </c>
      <c r="F80" s="2" t="inlineStr">
        <is>
          <t>701000</t>
        </is>
      </c>
      <c r="G80" s="3" t="inlineStr">
        <is>
          <t>Ventes P02 mois 06/2025</t>
        </is>
      </c>
      <c r="H80" s="4" t="n">
        <v>0</v>
      </c>
      <c r="I80" s="4" t="n">
        <v>26414.17</v>
      </c>
      <c r="J80" s="4" t="n">
        <v>26414.17</v>
      </c>
    </row>
    <row r="81">
      <c r="A81" s="2" t="inlineStr">
        <is>
          <t>2025-06-25</t>
        </is>
      </c>
      <c r="B81" s="2" t="n">
        <v>6</v>
      </c>
      <c r="C81" s="2" t="inlineStr">
        <is>
          <t>FV</t>
        </is>
      </c>
      <c r="D81" s="2" t="inlineStr">
        <is>
          <t>CC1000</t>
        </is>
      </c>
      <c r="E81" s="2" t="inlineStr">
        <is>
          <t>P03</t>
        </is>
      </c>
      <c r="F81" s="2" t="inlineStr">
        <is>
          <t>701000</t>
        </is>
      </c>
      <c r="G81" s="3" t="inlineStr">
        <is>
          <t>Ventes P03 mois 06/2025</t>
        </is>
      </c>
      <c r="H81" s="4" t="n">
        <v>0</v>
      </c>
      <c r="I81" s="4" t="n">
        <v>22487.46</v>
      </c>
      <c r="J81" s="4" t="n">
        <v>22487.46</v>
      </c>
    </row>
    <row r="82">
      <c r="A82" s="2" t="inlineStr">
        <is>
          <t>2025-06-25</t>
        </is>
      </c>
      <c r="B82" s="2" t="n">
        <v>6</v>
      </c>
      <c r="C82" s="2" t="inlineStr">
        <is>
          <t>SA</t>
        </is>
      </c>
      <c r="D82" s="2" t="inlineStr">
        <is>
          <t>CC1000</t>
        </is>
      </c>
      <c r="E82" s="2" t="inlineStr"/>
      <c r="F82" s="2" t="inlineStr">
        <is>
          <t>613000</t>
        </is>
      </c>
      <c r="G82" s="3" t="inlineStr">
        <is>
          <t>Loyer et charges locatives</t>
        </is>
      </c>
      <c r="H82" s="4" t="n">
        <v>8322.950000000001</v>
      </c>
      <c r="I82" s="4" t="n">
        <v>0</v>
      </c>
      <c r="J82" s="4" t="n">
        <v>-8322.950000000001</v>
      </c>
    </row>
    <row r="83">
      <c r="A83" s="2" t="inlineStr">
        <is>
          <t>2025-06-25</t>
        </is>
      </c>
      <c r="B83" s="2" t="n">
        <v>6</v>
      </c>
      <c r="C83" s="2" t="inlineStr">
        <is>
          <t>SA</t>
        </is>
      </c>
      <c r="D83" s="2" t="inlineStr">
        <is>
          <t>CC4000</t>
        </is>
      </c>
      <c r="E83" s="2" t="inlineStr"/>
      <c r="F83" s="2" t="inlineStr">
        <is>
          <t>641001</t>
        </is>
      </c>
      <c r="G83" s="3" t="inlineStr">
        <is>
          <t>Salaires administration</t>
        </is>
      </c>
      <c r="H83" s="4" t="n">
        <v>6368</v>
      </c>
      <c r="I83" s="4" t="n">
        <v>0</v>
      </c>
      <c r="J83" s="4" t="n">
        <v>-6368</v>
      </c>
    </row>
    <row r="84">
      <c r="A84" s="2" t="inlineStr">
        <is>
          <t>2025-06-30</t>
        </is>
      </c>
      <c r="B84" s="2" t="n">
        <v>6</v>
      </c>
      <c r="C84" s="2" t="inlineStr">
        <is>
          <t>FA</t>
        </is>
      </c>
      <c r="D84" s="2" t="inlineStr">
        <is>
          <t>CC2000</t>
        </is>
      </c>
      <c r="E84" s="2" t="inlineStr">
        <is>
          <t>P03</t>
        </is>
      </c>
      <c r="F84" s="2" t="inlineStr">
        <is>
          <t>601000</t>
        </is>
      </c>
      <c r="G84" s="3" t="inlineStr">
        <is>
          <t>Achats marchandises P03 mois 06/2025</t>
        </is>
      </c>
      <c r="H84" s="4" t="n">
        <v>12464.62</v>
      </c>
      <c r="I84" s="4" t="n">
        <v>0</v>
      </c>
      <c r="J84" s="4" t="n">
        <v>-12464.62</v>
      </c>
    </row>
    <row r="85">
      <c r="A85" s="2" t="inlineStr">
        <is>
          <t>2025-06-30</t>
        </is>
      </c>
      <c r="B85" s="2" t="n">
        <v>6</v>
      </c>
      <c r="C85" s="2" t="inlineStr">
        <is>
          <t>SA</t>
        </is>
      </c>
      <c r="D85" s="2" t="inlineStr">
        <is>
          <t>CC3000</t>
        </is>
      </c>
      <c r="E85" s="2" t="inlineStr"/>
      <c r="F85" s="2" t="inlineStr">
        <is>
          <t>623000</t>
        </is>
      </c>
      <c r="G85" s="3" t="inlineStr">
        <is>
          <t>Publicité et marketing mois 06/2025</t>
        </is>
      </c>
      <c r="H85" s="4" t="n">
        <v>3172.87</v>
      </c>
      <c r="I85" s="4" t="n">
        <v>0</v>
      </c>
      <c r="J85" s="4" t="n">
        <v>-3172.87</v>
      </c>
    </row>
    <row r="86">
      <c r="A86" s="2" t="inlineStr">
        <is>
          <t>2025-07-02</t>
        </is>
      </c>
      <c r="B86" s="2" t="n">
        <v>7</v>
      </c>
      <c r="C86" s="2" t="inlineStr">
        <is>
          <t>FV</t>
        </is>
      </c>
      <c r="D86" s="2" t="inlineStr">
        <is>
          <t>CC1000</t>
        </is>
      </c>
      <c r="E86" s="2" t="inlineStr">
        <is>
          <t>P02</t>
        </is>
      </c>
      <c r="F86" s="2" t="inlineStr">
        <is>
          <t>701000</t>
        </is>
      </c>
      <c r="G86" s="3" t="inlineStr">
        <is>
          <t>Ventes P02 mois 07/2025</t>
        </is>
      </c>
      <c r="H86" s="4" t="n">
        <v>0</v>
      </c>
      <c r="I86" s="4" t="n">
        <v>32239.54</v>
      </c>
      <c r="J86" s="4" t="n">
        <v>32239.54</v>
      </c>
    </row>
    <row r="87">
      <c r="A87" s="2" t="inlineStr">
        <is>
          <t>2025-07-03</t>
        </is>
      </c>
      <c r="B87" s="2" t="n">
        <v>7</v>
      </c>
      <c r="C87" s="2" t="inlineStr">
        <is>
          <t>FV</t>
        </is>
      </c>
      <c r="D87" s="2" t="inlineStr">
        <is>
          <t>CC1000</t>
        </is>
      </c>
      <c r="E87" s="2" t="inlineStr">
        <is>
          <t>P03</t>
        </is>
      </c>
      <c r="F87" s="2" t="inlineStr">
        <is>
          <t>701000</t>
        </is>
      </c>
      <c r="G87" s="3" t="inlineStr">
        <is>
          <t>Ventes P03 mois 07/2025</t>
        </is>
      </c>
      <c r="H87" s="4" t="n">
        <v>0</v>
      </c>
      <c r="I87" s="4" t="n">
        <v>28005.04</v>
      </c>
      <c r="J87" s="4" t="n">
        <v>28005.04</v>
      </c>
    </row>
    <row r="88">
      <c r="A88" s="2" t="inlineStr">
        <is>
          <t>2025-07-05</t>
        </is>
      </c>
      <c r="B88" s="2" t="n">
        <v>7</v>
      </c>
      <c r="C88" s="2" t="inlineStr">
        <is>
          <t>FA</t>
        </is>
      </c>
      <c r="D88" s="2" t="inlineStr">
        <is>
          <t>CC2000</t>
        </is>
      </c>
      <c r="E88" s="2" t="inlineStr">
        <is>
          <t>P04</t>
        </is>
      </c>
      <c r="F88" s="2" t="inlineStr">
        <is>
          <t>601000</t>
        </is>
      </c>
      <c r="G88" s="3" t="inlineStr">
        <is>
          <t>Achats marchandises P04 mois 07/2025</t>
        </is>
      </c>
      <c r="H88" s="4" t="n">
        <v>9666.620000000001</v>
      </c>
      <c r="I88" s="4" t="n">
        <v>0</v>
      </c>
      <c r="J88" s="4" t="n">
        <v>-9666.620000000001</v>
      </c>
    </row>
    <row r="89">
      <c r="A89" s="2" t="inlineStr">
        <is>
          <t>2025-07-06</t>
        </is>
      </c>
      <c r="B89" s="2" t="n">
        <v>7</v>
      </c>
      <c r="C89" s="2" t="inlineStr">
        <is>
          <t>SA</t>
        </is>
      </c>
      <c r="D89" s="2" t="inlineStr">
        <is>
          <t>CC1000</t>
        </is>
      </c>
      <c r="E89" s="2" t="inlineStr"/>
      <c r="F89" s="2" t="inlineStr">
        <is>
          <t>613000</t>
        </is>
      </c>
      <c r="G89" s="3" t="inlineStr">
        <is>
          <t>Loyer et charges locatives</t>
        </is>
      </c>
      <c r="H89" s="4" t="n">
        <v>8727.889999999999</v>
      </c>
      <c r="I89" s="4" t="n">
        <v>0</v>
      </c>
      <c r="J89" s="4" t="n">
        <v>-8727.889999999999</v>
      </c>
    </row>
    <row r="90">
      <c r="A90" s="2" t="inlineStr">
        <is>
          <t>2025-07-16</t>
        </is>
      </c>
      <c r="B90" s="2" t="n">
        <v>7</v>
      </c>
      <c r="C90" s="2" t="inlineStr">
        <is>
          <t>SA</t>
        </is>
      </c>
      <c r="D90" s="2" t="inlineStr">
        <is>
          <t>CC1000</t>
        </is>
      </c>
      <c r="E90" s="2" t="inlineStr"/>
      <c r="F90" s="2" t="inlineStr">
        <is>
          <t>641000</t>
        </is>
      </c>
      <c r="G90" s="3" t="inlineStr">
        <is>
          <t>Salaires et charges sociales</t>
        </is>
      </c>
      <c r="H90" s="4" t="n">
        <v>21509.48</v>
      </c>
      <c r="I90" s="4" t="n">
        <v>0</v>
      </c>
      <c r="J90" s="4" t="n">
        <v>-21509.48</v>
      </c>
    </row>
    <row r="91">
      <c r="A91" s="2" t="inlineStr">
        <is>
          <t>2025-07-18</t>
        </is>
      </c>
      <c r="B91" s="2" t="n">
        <v>7</v>
      </c>
      <c r="C91" s="2" t="inlineStr">
        <is>
          <t>SA</t>
        </is>
      </c>
      <c r="D91" s="2" t="inlineStr">
        <is>
          <t>CC2000</t>
        </is>
      </c>
      <c r="E91" s="2" t="inlineStr"/>
      <c r="F91" s="2" t="inlineStr">
        <is>
          <t>624000</t>
        </is>
      </c>
      <c r="G91" s="3" t="inlineStr">
        <is>
          <t>Transport et logistique mois 07/2025</t>
        </is>
      </c>
      <c r="H91" s="4" t="n">
        <v>2902.47</v>
      </c>
      <c r="I91" s="4" t="n">
        <v>0</v>
      </c>
      <c r="J91" s="4" t="n">
        <v>-2902.47</v>
      </c>
    </row>
    <row r="92">
      <c r="A92" s="2" t="inlineStr">
        <is>
          <t>2025-07-19</t>
        </is>
      </c>
      <c r="B92" s="2" t="n">
        <v>7</v>
      </c>
      <c r="C92" s="2" t="inlineStr">
        <is>
          <t>FA</t>
        </is>
      </c>
      <c r="D92" s="2" t="inlineStr">
        <is>
          <t>CC2000</t>
        </is>
      </c>
      <c r="E92" s="2" t="inlineStr">
        <is>
          <t>P02</t>
        </is>
      </c>
      <c r="F92" s="2" t="inlineStr">
        <is>
          <t>601000</t>
        </is>
      </c>
      <c r="G92" s="3" t="inlineStr">
        <is>
          <t>Achats marchandises P02 mois 07/2025</t>
        </is>
      </c>
      <c r="H92" s="4" t="n">
        <v>18030.6</v>
      </c>
      <c r="I92" s="4" t="n">
        <v>0</v>
      </c>
      <c r="J92" s="4" t="n">
        <v>-18030.6</v>
      </c>
    </row>
    <row r="93">
      <c r="A93" s="2" t="inlineStr">
        <is>
          <t>2025-07-23</t>
        </is>
      </c>
      <c r="B93" s="2" t="n">
        <v>7</v>
      </c>
      <c r="C93" s="2" t="inlineStr">
        <is>
          <t>SA</t>
        </is>
      </c>
      <c r="D93" s="2" t="inlineStr">
        <is>
          <t>CC4000</t>
        </is>
      </c>
      <c r="E93" s="2" t="inlineStr"/>
      <c r="F93" s="2" t="inlineStr">
        <is>
          <t>627000</t>
        </is>
      </c>
      <c r="G93" s="3" t="inlineStr">
        <is>
          <t>Frais bancaires et divers mois 07/2025</t>
        </is>
      </c>
      <c r="H93" s="4" t="n">
        <v>777.63</v>
      </c>
      <c r="I93" s="4" t="n">
        <v>0</v>
      </c>
      <c r="J93" s="4" t="n">
        <v>-777.63</v>
      </c>
    </row>
    <row r="94">
      <c r="A94" s="2" t="inlineStr">
        <is>
          <t>2025-07-25</t>
        </is>
      </c>
      <c r="B94" s="2" t="n">
        <v>7</v>
      </c>
      <c r="C94" s="2" t="inlineStr">
        <is>
          <t>FV</t>
        </is>
      </c>
      <c r="D94" s="2" t="inlineStr">
        <is>
          <t>CC1000</t>
        </is>
      </c>
      <c r="E94" s="2" t="inlineStr">
        <is>
          <t>P04</t>
        </is>
      </c>
      <c r="F94" s="2" t="inlineStr">
        <is>
          <t>701000</t>
        </is>
      </c>
      <c r="G94" s="3" t="inlineStr">
        <is>
          <t>Ventes P04 mois 07/2025</t>
        </is>
      </c>
      <c r="H94" s="4" t="n">
        <v>0</v>
      </c>
      <c r="I94" s="4" t="n">
        <v>16591.74</v>
      </c>
      <c r="J94" s="4" t="n">
        <v>16591.74</v>
      </c>
    </row>
    <row r="95">
      <c r="A95" s="2" t="inlineStr">
        <is>
          <t>2025-07-26</t>
        </is>
      </c>
      <c r="B95" s="2" t="n">
        <v>7</v>
      </c>
      <c r="C95" s="2" t="inlineStr">
        <is>
          <t>FA</t>
        </is>
      </c>
      <c r="D95" s="2" t="inlineStr">
        <is>
          <t>CC2000</t>
        </is>
      </c>
      <c r="E95" s="2" t="inlineStr">
        <is>
          <t>P01</t>
        </is>
      </c>
      <c r="F95" s="2" t="inlineStr">
        <is>
          <t>601000</t>
        </is>
      </c>
      <c r="G95" s="3" t="inlineStr">
        <is>
          <t>Achats marchandises P01 mois 07/2025</t>
        </is>
      </c>
      <c r="H95" s="4" t="n">
        <v>27497.34</v>
      </c>
      <c r="I95" s="4" t="n">
        <v>0</v>
      </c>
      <c r="J95" s="4" t="n">
        <v>-27497.34</v>
      </c>
    </row>
    <row r="96">
      <c r="A96" s="2" t="inlineStr">
        <is>
          <t>2025-07-27</t>
        </is>
      </c>
      <c r="B96" s="2" t="n">
        <v>7</v>
      </c>
      <c r="C96" s="2" t="inlineStr">
        <is>
          <t>FA</t>
        </is>
      </c>
      <c r="D96" s="2" t="inlineStr">
        <is>
          <t>CC2000</t>
        </is>
      </c>
      <c r="E96" s="2" t="inlineStr">
        <is>
          <t>P03</t>
        </is>
      </c>
      <c r="F96" s="2" t="inlineStr">
        <is>
          <t>601000</t>
        </is>
      </c>
      <c r="G96" s="3" t="inlineStr">
        <is>
          <t>Achats marchandises P03 mois 07/2025</t>
        </is>
      </c>
      <c r="H96" s="4" t="n">
        <v>16762.49</v>
      </c>
      <c r="I96" s="4" t="n">
        <v>0</v>
      </c>
      <c r="J96" s="4" t="n">
        <v>-16762.49</v>
      </c>
    </row>
    <row r="97">
      <c r="A97" s="2" t="inlineStr">
        <is>
          <t>2025-07-28</t>
        </is>
      </c>
      <c r="B97" s="2" t="n">
        <v>7</v>
      </c>
      <c r="C97" s="2" t="inlineStr">
        <is>
          <t>SA</t>
        </is>
      </c>
      <c r="D97" s="2" t="inlineStr">
        <is>
          <t>CC4000</t>
        </is>
      </c>
      <c r="E97" s="2" t="inlineStr"/>
      <c r="F97" s="2" t="inlineStr">
        <is>
          <t>641001</t>
        </is>
      </c>
      <c r="G97" s="3" t="inlineStr">
        <is>
          <t>Salaires administration</t>
        </is>
      </c>
      <c r="H97" s="4" t="n">
        <v>6408.37</v>
      </c>
      <c r="I97" s="4" t="n">
        <v>0</v>
      </c>
      <c r="J97" s="4" t="n">
        <v>-6408.37</v>
      </c>
    </row>
    <row r="98">
      <c r="A98" s="2" t="inlineStr">
        <is>
          <t>2025-07-29</t>
        </is>
      </c>
      <c r="B98" s="2" t="n">
        <v>7</v>
      </c>
      <c r="C98" s="2" t="inlineStr">
        <is>
          <t>FV</t>
        </is>
      </c>
      <c r="D98" s="2" t="inlineStr">
        <is>
          <t>CC1000</t>
        </is>
      </c>
      <c r="E98" s="2" t="inlineStr">
        <is>
          <t>P01</t>
        </is>
      </c>
      <c r="F98" s="2" t="inlineStr">
        <is>
          <t>701000</t>
        </is>
      </c>
      <c r="G98" s="3" t="inlineStr">
        <is>
          <t>Ventes P01 mois 07/2025</t>
        </is>
      </c>
      <c r="H98" s="4" t="n">
        <v>0</v>
      </c>
      <c r="I98" s="4" t="n">
        <v>44434.71</v>
      </c>
      <c r="J98" s="4" t="n">
        <v>44434.71</v>
      </c>
    </row>
    <row r="99">
      <c r="A99" s="2" t="inlineStr">
        <is>
          <t>2025-07-31</t>
        </is>
      </c>
      <c r="B99" s="2" t="n">
        <v>7</v>
      </c>
      <c r="C99" s="2" t="inlineStr">
        <is>
          <t>SA</t>
        </is>
      </c>
      <c r="D99" s="2" t="inlineStr">
        <is>
          <t>CC3000</t>
        </is>
      </c>
      <c r="E99" s="2" t="inlineStr"/>
      <c r="F99" s="2" t="inlineStr">
        <is>
          <t>623000</t>
        </is>
      </c>
      <c r="G99" s="3" t="inlineStr">
        <is>
          <t>Publicité et marketing mois 07/2025</t>
        </is>
      </c>
      <c r="H99" s="4" t="n">
        <v>3632.56</v>
      </c>
      <c r="I99" s="4" t="n">
        <v>0</v>
      </c>
      <c r="J99" s="4" t="n">
        <v>-3632.56</v>
      </c>
    </row>
    <row r="100">
      <c r="A100" s="2" t="inlineStr">
        <is>
          <t>2025-08-01</t>
        </is>
      </c>
      <c r="B100" s="2" t="n">
        <v>8</v>
      </c>
      <c r="C100" s="2" t="inlineStr">
        <is>
          <t>FA</t>
        </is>
      </c>
      <c r="D100" s="2" t="inlineStr">
        <is>
          <t>CC2000</t>
        </is>
      </c>
      <c r="E100" s="2" t="inlineStr">
        <is>
          <t>P03</t>
        </is>
      </c>
      <c r="F100" s="2" t="inlineStr">
        <is>
          <t>601000</t>
        </is>
      </c>
      <c r="G100" s="3" t="inlineStr">
        <is>
          <t>Achats marchandises P03 mois 08/2025</t>
        </is>
      </c>
      <c r="H100" s="4" t="n">
        <v>12775.03</v>
      </c>
      <c r="I100" s="4" t="n">
        <v>0</v>
      </c>
      <c r="J100" s="4" t="n">
        <v>-12775.03</v>
      </c>
    </row>
    <row r="101">
      <c r="A101" s="2" t="inlineStr">
        <is>
          <t>2025-08-01</t>
        </is>
      </c>
      <c r="B101" s="2" t="n">
        <v>8</v>
      </c>
      <c r="C101" s="2" t="inlineStr">
        <is>
          <t>FA</t>
        </is>
      </c>
      <c r="D101" s="2" t="inlineStr">
        <is>
          <t>CC2000</t>
        </is>
      </c>
      <c r="E101" s="2" t="inlineStr">
        <is>
          <t>P04</t>
        </is>
      </c>
      <c r="F101" s="2" t="inlineStr">
        <is>
          <t>601000</t>
        </is>
      </c>
      <c r="G101" s="3" t="inlineStr">
        <is>
          <t>Achats marchandises P04 mois 08/2025</t>
        </is>
      </c>
      <c r="H101" s="4" t="n">
        <v>10127.25</v>
      </c>
      <c r="I101" s="4" t="n">
        <v>0</v>
      </c>
      <c r="J101" s="4" t="n">
        <v>-10127.25</v>
      </c>
    </row>
    <row r="102">
      <c r="A102" s="2" t="inlineStr">
        <is>
          <t>2025-08-03</t>
        </is>
      </c>
      <c r="B102" s="2" t="n">
        <v>8</v>
      </c>
      <c r="C102" s="2" t="inlineStr">
        <is>
          <t>SA</t>
        </is>
      </c>
      <c r="D102" s="2" t="inlineStr">
        <is>
          <t>CC1000</t>
        </is>
      </c>
      <c r="E102" s="2" t="inlineStr"/>
      <c r="F102" s="2" t="inlineStr">
        <is>
          <t>613000</t>
        </is>
      </c>
      <c r="G102" s="3" t="inlineStr">
        <is>
          <t>Loyer et charges locatives</t>
        </is>
      </c>
      <c r="H102" s="4" t="n">
        <v>8275.030000000001</v>
      </c>
      <c r="I102" s="4" t="n">
        <v>0</v>
      </c>
      <c r="J102" s="4" t="n">
        <v>-8275.030000000001</v>
      </c>
    </row>
    <row r="103">
      <c r="A103" s="2" t="inlineStr">
        <is>
          <t>2025-08-08</t>
        </is>
      </c>
      <c r="B103" s="2" t="n">
        <v>8</v>
      </c>
      <c r="C103" s="2" t="inlineStr">
        <is>
          <t>FV</t>
        </is>
      </c>
      <c r="D103" s="2" t="inlineStr">
        <is>
          <t>CC1000</t>
        </is>
      </c>
      <c r="E103" s="2" t="inlineStr">
        <is>
          <t>P03</t>
        </is>
      </c>
      <c r="F103" s="2" t="inlineStr">
        <is>
          <t>701000</t>
        </is>
      </c>
      <c r="G103" s="3" t="inlineStr">
        <is>
          <t>Ventes P03 mois 08/2025</t>
        </is>
      </c>
      <c r="H103" s="4" t="n">
        <v>0</v>
      </c>
      <c r="I103" s="4" t="n">
        <v>23435.17</v>
      </c>
      <c r="J103" s="4" t="n">
        <v>23435.17</v>
      </c>
    </row>
    <row r="104">
      <c r="A104" s="2" t="inlineStr">
        <is>
          <t>2025-08-08</t>
        </is>
      </c>
      <c r="B104" s="2" t="n">
        <v>8</v>
      </c>
      <c r="C104" s="2" t="inlineStr">
        <is>
          <t>FV</t>
        </is>
      </c>
      <c r="D104" s="2" t="inlineStr">
        <is>
          <t>CC1000</t>
        </is>
      </c>
      <c r="E104" s="2" t="inlineStr">
        <is>
          <t>P04</t>
        </is>
      </c>
      <c r="F104" s="2" t="inlineStr">
        <is>
          <t>701000</t>
        </is>
      </c>
      <c r="G104" s="3" t="inlineStr">
        <is>
          <t>Ventes P04 mois 08/2025</t>
        </is>
      </c>
      <c r="H104" s="4" t="n">
        <v>0</v>
      </c>
      <c r="I104" s="4" t="n">
        <v>17250.34</v>
      </c>
      <c r="J104" s="4" t="n">
        <v>17250.34</v>
      </c>
    </row>
    <row r="105">
      <c r="A105" s="2" t="inlineStr">
        <is>
          <t>2025-08-10</t>
        </is>
      </c>
      <c r="B105" s="2" t="n">
        <v>8</v>
      </c>
      <c r="C105" s="2" t="inlineStr">
        <is>
          <t>FV</t>
        </is>
      </c>
      <c r="D105" s="2" t="inlineStr">
        <is>
          <t>CC1000</t>
        </is>
      </c>
      <c r="E105" s="2" t="inlineStr">
        <is>
          <t>P01</t>
        </is>
      </c>
      <c r="F105" s="2" t="inlineStr">
        <is>
          <t>701000</t>
        </is>
      </c>
      <c r="G105" s="3" t="inlineStr">
        <is>
          <t>Ventes P01 mois 08/2025</t>
        </is>
      </c>
      <c r="H105" s="4" t="n">
        <v>0</v>
      </c>
      <c r="I105" s="4" t="n">
        <v>37792.19</v>
      </c>
      <c r="J105" s="4" t="n">
        <v>37792.19</v>
      </c>
    </row>
    <row r="106">
      <c r="A106" s="2" t="inlineStr">
        <is>
          <t>2025-08-15</t>
        </is>
      </c>
      <c r="B106" s="2" t="n">
        <v>8</v>
      </c>
      <c r="C106" s="2" t="inlineStr">
        <is>
          <t>FV</t>
        </is>
      </c>
      <c r="D106" s="2" t="inlineStr">
        <is>
          <t>CC1000</t>
        </is>
      </c>
      <c r="E106" s="2" t="inlineStr">
        <is>
          <t>P02</t>
        </is>
      </c>
      <c r="F106" s="2" t="inlineStr">
        <is>
          <t>701000</t>
        </is>
      </c>
      <c r="G106" s="3" t="inlineStr">
        <is>
          <t>Ventes P02 mois 08/2025</t>
        </is>
      </c>
      <c r="H106" s="4" t="n">
        <v>0</v>
      </c>
      <c r="I106" s="4" t="n">
        <v>32513.43</v>
      </c>
      <c r="J106" s="4" t="n">
        <v>32513.43</v>
      </c>
    </row>
    <row r="107">
      <c r="A107" s="2" t="inlineStr">
        <is>
          <t>2025-08-15</t>
        </is>
      </c>
      <c r="B107" s="2" t="n">
        <v>8</v>
      </c>
      <c r="C107" s="2" t="inlineStr">
        <is>
          <t>FA</t>
        </is>
      </c>
      <c r="D107" s="2" t="inlineStr">
        <is>
          <t>CC2000</t>
        </is>
      </c>
      <c r="E107" s="2" t="inlineStr">
        <is>
          <t>P02</t>
        </is>
      </c>
      <c r="F107" s="2" t="inlineStr">
        <is>
          <t>601000</t>
        </is>
      </c>
      <c r="G107" s="3" t="inlineStr">
        <is>
          <t>Achats marchandises P02 mois 08/2025</t>
        </is>
      </c>
      <c r="H107" s="4" t="n">
        <v>19897.22</v>
      </c>
      <c r="I107" s="4" t="n">
        <v>0</v>
      </c>
      <c r="J107" s="4" t="n">
        <v>-19897.22</v>
      </c>
    </row>
    <row r="108">
      <c r="A108" s="2" t="inlineStr">
        <is>
          <t>2025-08-17</t>
        </is>
      </c>
      <c r="B108" s="2" t="n">
        <v>8</v>
      </c>
      <c r="C108" s="2" t="inlineStr">
        <is>
          <t>SA</t>
        </is>
      </c>
      <c r="D108" s="2" t="inlineStr">
        <is>
          <t>CC3000</t>
        </is>
      </c>
      <c r="E108" s="2" t="inlineStr"/>
      <c r="F108" s="2" t="inlineStr">
        <is>
          <t>623000</t>
        </is>
      </c>
      <c r="G108" s="3" t="inlineStr">
        <is>
          <t>Publicité et marketing mois 08/2025</t>
        </is>
      </c>
      <c r="H108" s="4" t="n">
        <v>3189.07</v>
      </c>
      <c r="I108" s="4" t="n">
        <v>0</v>
      </c>
      <c r="J108" s="4" t="n">
        <v>-3189.07</v>
      </c>
    </row>
    <row r="109">
      <c r="A109" s="2" t="inlineStr">
        <is>
          <t>2025-08-18</t>
        </is>
      </c>
      <c r="B109" s="2" t="n">
        <v>8</v>
      </c>
      <c r="C109" s="2" t="inlineStr">
        <is>
          <t>SA</t>
        </is>
      </c>
      <c r="D109" s="2" t="inlineStr">
        <is>
          <t>CC4000</t>
        </is>
      </c>
      <c r="E109" s="2" t="inlineStr"/>
      <c r="F109" s="2" t="inlineStr">
        <is>
          <t>627000</t>
        </is>
      </c>
      <c r="G109" s="3" t="inlineStr">
        <is>
          <t>Frais bancaires et divers mois 08/2025</t>
        </is>
      </c>
      <c r="H109" s="4" t="n">
        <v>642.71</v>
      </c>
      <c r="I109" s="4" t="n">
        <v>0</v>
      </c>
      <c r="J109" s="4" t="n">
        <v>-642.71</v>
      </c>
    </row>
    <row r="110">
      <c r="A110" s="2" t="inlineStr">
        <is>
          <t>2025-08-21</t>
        </is>
      </c>
      <c r="B110" s="2" t="n">
        <v>8</v>
      </c>
      <c r="C110" s="2" t="inlineStr">
        <is>
          <t>SA</t>
        </is>
      </c>
      <c r="D110" s="2" t="inlineStr">
        <is>
          <t>CC1000</t>
        </is>
      </c>
      <c r="E110" s="2" t="inlineStr"/>
      <c r="F110" s="2" t="inlineStr">
        <is>
          <t>641000</t>
        </is>
      </c>
      <c r="G110" s="3" t="inlineStr">
        <is>
          <t>Salaires et charges sociales</t>
        </is>
      </c>
      <c r="H110" s="4" t="n">
        <v>21433.71</v>
      </c>
      <c r="I110" s="4" t="n">
        <v>0</v>
      </c>
      <c r="J110" s="4" t="n">
        <v>-21433.71</v>
      </c>
    </row>
    <row r="111">
      <c r="A111" s="2" t="inlineStr">
        <is>
          <t>2025-08-22</t>
        </is>
      </c>
      <c r="B111" s="2" t="n">
        <v>8</v>
      </c>
      <c r="C111" s="2" t="inlineStr">
        <is>
          <t>FA</t>
        </is>
      </c>
      <c r="D111" s="2" t="inlineStr">
        <is>
          <t>CC2000</t>
        </is>
      </c>
      <c r="E111" s="2" t="inlineStr">
        <is>
          <t>P01</t>
        </is>
      </c>
      <c r="F111" s="2" t="inlineStr">
        <is>
          <t>601000</t>
        </is>
      </c>
      <c r="G111" s="3" t="inlineStr">
        <is>
          <t>Achats marchandises P01 mois 08/2025</t>
        </is>
      </c>
      <c r="H111" s="4" t="n">
        <v>21614.09</v>
      </c>
      <c r="I111" s="4" t="n">
        <v>0</v>
      </c>
      <c r="J111" s="4" t="n">
        <v>-21614.09</v>
      </c>
    </row>
    <row r="112">
      <c r="A112" s="2" t="inlineStr">
        <is>
          <t>2025-08-22</t>
        </is>
      </c>
      <c r="B112" s="2" t="n">
        <v>8</v>
      </c>
      <c r="C112" s="2" t="inlineStr">
        <is>
          <t>SA</t>
        </is>
      </c>
      <c r="D112" s="2" t="inlineStr">
        <is>
          <t>CC2000</t>
        </is>
      </c>
      <c r="E112" s="2" t="inlineStr"/>
      <c r="F112" s="2" t="inlineStr">
        <is>
          <t>624000</t>
        </is>
      </c>
      <c r="G112" s="3" t="inlineStr">
        <is>
          <t>Transport et logistique mois 08/2025</t>
        </is>
      </c>
      <c r="H112" s="4" t="n">
        <v>2785.95</v>
      </c>
      <c r="I112" s="4" t="n">
        <v>0</v>
      </c>
      <c r="J112" s="4" t="n">
        <v>-2785.95</v>
      </c>
    </row>
    <row r="113">
      <c r="A113" s="2" t="inlineStr">
        <is>
          <t>2025-08-28</t>
        </is>
      </c>
      <c r="B113" s="2" t="n">
        <v>8</v>
      </c>
      <c r="C113" s="2" t="inlineStr">
        <is>
          <t>SA</t>
        </is>
      </c>
      <c r="D113" s="2" t="inlineStr">
        <is>
          <t>CC4000</t>
        </is>
      </c>
      <c r="E113" s="2" t="inlineStr"/>
      <c r="F113" s="2" t="inlineStr">
        <is>
          <t>641001</t>
        </is>
      </c>
      <c r="G113" s="3" t="inlineStr">
        <is>
          <t>Salaires administration</t>
        </is>
      </c>
      <c r="H113" s="4" t="n">
        <v>6658.11</v>
      </c>
      <c r="I113" s="4" t="n">
        <v>0</v>
      </c>
      <c r="J113" s="4" t="n">
        <v>-6658.11</v>
      </c>
    </row>
    <row r="114">
      <c r="A114" s="2" t="inlineStr">
        <is>
          <t>2025-09-02</t>
        </is>
      </c>
      <c r="B114" s="2" t="n">
        <v>9</v>
      </c>
      <c r="C114" s="2" t="inlineStr">
        <is>
          <t>FA</t>
        </is>
      </c>
      <c r="D114" s="2" t="inlineStr">
        <is>
          <t>CC2000</t>
        </is>
      </c>
      <c r="E114" s="2" t="inlineStr">
        <is>
          <t>P04</t>
        </is>
      </c>
      <c r="F114" s="2" t="inlineStr">
        <is>
          <t>601000</t>
        </is>
      </c>
      <c r="G114" s="3" t="inlineStr">
        <is>
          <t>Achats marchandises P04 mois 09/2025</t>
        </is>
      </c>
      <c r="H114" s="4" t="n">
        <v>8967.129999999999</v>
      </c>
      <c r="I114" s="4" t="n">
        <v>0</v>
      </c>
      <c r="J114" s="4" t="n">
        <v>-8967.129999999999</v>
      </c>
    </row>
    <row r="115">
      <c r="A115" s="2" t="inlineStr">
        <is>
          <t>2025-09-04</t>
        </is>
      </c>
      <c r="B115" s="2" t="n">
        <v>9</v>
      </c>
      <c r="C115" s="2" t="inlineStr">
        <is>
          <t>FV</t>
        </is>
      </c>
      <c r="D115" s="2" t="inlineStr">
        <is>
          <t>CC1000</t>
        </is>
      </c>
      <c r="E115" s="2" t="inlineStr">
        <is>
          <t>P03</t>
        </is>
      </c>
      <c r="F115" s="2" t="inlineStr">
        <is>
          <t>701000</t>
        </is>
      </c>
      <c r="G115" s="3" t="inlineStr">
        <is>
          <t>Ventes P03 mois 09/2025</t>
        </is>
      </c>
      <c r="H115" s="4" t="n">
        <v>0</v>
      </c>
      <c r="I115" s="4" t="n">
        <v>20776.42</v>
      </c>
      <c r="J115" s="4" t="n">
        <v>20776.42</v>
      </c>
    </row>
    <row r="116">
      <c r="A116" s="2" t="inlineStr">
        <is>
          <t>2025-09-08</t>
        </is>
      </c>
      <c r="B116" s="2" t="n">
        <v>9</v>
      </c>
      <c r="C116" s="2" t="inlineStr">
        <is>
          <t>SA</t>
        </is>
      </c>
      <c r="D116" s="2" t="inlineStr">
        <is>
          <t>CC3000</t>
        </is>
      </c>
      <c r="E116" s="2" t="inlineStr"/>
      <c r="F116" s="2" t="inlineStr">
        <is>
          <t>623000</t>
        </is>
      </c>
      <c r="G116" s="3" t="inlineStr">
        <is>
          <t>Publicité et marketing mois 09/2025</t>
        </is>
      </c>
      <c r="H116" s="4" t="n">
        <v>3263.43</v>
      </c>
      <c r="I116" s="4" t="n">
        <v>0</v>
      </c>
      <c r="J116" s="4" t="n">
        <v>-3263.43</v>
      </c>
    </row>
    <row r="117">
      <c r="A117" s="2" t="inlineStr">
        <is>
          <t>2025-09-12</t>
        </is>
      </c>
      <c r="B117" s="2" t="n">
        <v>9</v>
      </c>
      <c r="C117" s="2" t="inlineStr">
        <is>
          <t>FA</t>
        </is>
      </c>
      <c r="D117" s="2" t="inlineStr">
        <is>
          <t>CC2000</t>
        </is>
      </c>
      <c r="E117" s="2" t="inlineStr">
        <is>
          <t>P03</t>
        </is>
      </c>
      <c r="F117" s="2" t="inlineStr">
        <is>
          <t>601000</t>
        </is>
      </c>
      <c r="G117" s="3" t="inlineStr">
        <is>
          <t>Achats marchandises P03 mois 09/2025</t>
        </is>
      </c>
      <c r="H117" s="4" t="n">
        <v>12314.57</v>
      </c>
      <c r="I117" s="4" t="n">
        <v>0</v>
      </c>
      <c r="J117" s="4" t="n">
        <v>-12314.57</v>
      </c>
    </row>
    <row r="118">
      <c r="A118" s="2" t="inlineStr">
        <is>
          <t>2025-09-13</t>
        </is>
      </c>
      <c r="B118" s="2" t="n">
        <v>9</v>
      </c>
      <c r="C118" s="2" t="inlineStr">
        <is>
          <t>SA</t>
        </is>
      </c>
      <c r="D118" s="2" t="inlineStr">
        <is>
          <t>CC1000</t>
        </is>
      </c>
      <c r="E118" s="2" t="inlineStr"/>
      <c r="F118" s="2" t="inlineStr">
        <is>
          <t>613000</t>
        </is>
      </c>
      <c r="G118" s="3" t="inlineStr">
        <is>
          <t>Loyer et charges locatives</t>
        </is>
      </c>
      <c r="H118" s="4" t="n">
        <v>8295.190000000001</v>
      </c>
      <c r="I118" s="4" t="n">
        <v>0</v>
      </c>
      <c r="J118" s="4" t="n">
        <v>-8295.190000000001</v>
      </c>
    </row>
    <row r="119">
      <c r="A119" s="2" t="inlineStr">
        <is>
          <t>2025-09-14</t>
        </is>
      </c>
      <c r="B119" s="2" t="n">
        <v>9</v>
      </c>
      <c r="C119" s="2" t="inlineStr">
        <is>
          <t>FA</t>
        </is>
      </c>
      <c r="D119" s="2" t="inlineStr">
        <is>
          <t>CC2000</t>
        </is>
      </c>
      <c r="E119" s="2" t="inlineStr">
        <is>
          <t>P02</t>
        </is>
      </c>
      <c r="F119" s="2" t="inlineStr">
        <is>
          <t>601000</t>
        </is>
      </c>
      <c r="G119" s="3" t="inlineStr">
        <is>
          <t>Achats marchandises P02 mois 09/2025</t>
        </is>
      </c>
      <c r="H119" s="4" t="n">
        <v>16005.62</v>
      </c>
      <c r="I119" s="4" t="n">
        <v>0</v>
      </c>
      <c r="J119" s="4" t="n">
        <v>-16005.62</v>
      </c>
    </row>
    <row r="120">
      <c r="A120" s="2" t="inlineStr">
        <is>
          <t>2025-09-14</t>
        </is>
      </c>
      <c r="B120" s="2" t="n">
        <v>9</v>
      </c>
      <c r="C120" s="2" t="inlineStr">
        <is>
          <t>SA</t>
        </is>
      </c>
      <c r="D120" s="2" t="inlineStr">
        <is>
          <t>CC4000</t>
        </is>
      </c>
      <c r="E120" s="2" t="inlineStr"/>
      <c r="F120" s="2" t="inlineStr">
        <is>
          <t>627000</t>
        </is>
      </c>
      <c r="G120" s="3" t="inlineStr">
        <is>
          <t>Frais bancaires et divers mois 09/2025</t>
        </is>
      </c>
      <c r="H120" s="4" t="n">
        <v>624.3099999999999</v>
      </c>
      <c r="I120" s="4" t="n">
        <v>0</v>
      </c>
      <c r="J120" s="4" t="n">
        <v>-624.3099999999999</v>
      </c>
    </row>
    <row r="121">
      <c r="A121" s="2" t="inlineStr">
        <is>
          <t>2025-09-15</t>
        </is>
      </c>
      <c r="B121" s="2" t="n">
        <v>9</v>
      </c>
      <c r="C121" s="2" t="inlineStr">
        <is>
          <t>FV</t>
        </is>
      </c>
      <c r="D121" s="2" t="inlineStr">
        <is>
          <t>CC1000</t>
        </is>
      </c>
      <c r="E121" s="2" t="inlineStr">
        <is>
          <t>P04</t>
        </is>
      </c>
      <c r="F121" s="2" t="inlineStr">
        <is>
          <t>701000</t>
        </is>
      </c>
      <c r="G121" s="3" t="inlineStr">
        <is>
          <t>Ventes P04 mois 09/2025</t>
        </is>
      </c>
      <c r="H121" s="4" t="n">
        <v>0</v>
      </c>
      <c r="I121" s="4" t="n">
        <v>14721.76</v>
      </c>
      <c r="J121" s="4" t="n">
        <v>14721.76</v>
      </c>
    </row>
    <row r="122">
      <c r="A122" s="2" t="inlineStr">
        <is>
          <t>2025-09-18</t>
        </is>
      </c>
      <c r="B122" s="2" t="n">
        <v>9</v>
      </c>
      <c r="C122" s="2" t="inlineStr">
        <is>
          <t>SA</t>
        </is>
      </c>
      <c r="D122" s="2" t="inlineStr">
        <is>
          <t>CC2000</t>
        </is>
      </c>
      <c r="E122" s="2" t="inlineStr"/>
      <c r="F122" s="2" t="inlineStr">
        <is>
          <t>624000</t>
        </is>
      </c>
      <c r="G122" s="3" t="inlineStr">
        <is>
          <t>Transport et logistique mois 09/2025</t>
        </is>
      </c>
      <c r="H122" s="4" t="n">
        <v>2417.11</v>
      </c>
      <c r="I122" s="4" t="n">
        <v>0</v>
      </c>
      <c r="J122" s="4" t="n">
        <v>-2417.11</v>
      </c>
    </row>
    <row r="123">
      <c r="A123" s="2" t="inlineStr">
        <is>
          <t>2025-09-19</t>
        </is>
      </c>
      <c r="B123" s="2" t="n">
        <v>9</v>
      </c>
      <c r="C123" s="2" t="inlineStr">
        <is>
          <t>FA</t>
        </is>
      </c>
      <c r="D123" s="2" t="inlineStr">
        <is>
          <t>CC2000</t>
        </is>
      </c>
      <c r="E123" s="2" t="inlineStr">
        <is>
          <t>P01</t>
        </is>
      </c>
      <c r="F123" s="2" t="inlineStr">
        <is>
          <t>601000</t>
        </is>
      </c>
      <c r="G123" s="3" t="inlineStr">
        <is>
          <t>Achats marchandises P01 mois 09/2025</t>
        </is>
      </c>
      <c r="H123" s="4" t="n">
        <v>19984.71</v>
      </c>
      <c r="I123" s="4" t="n">
        <v>0</v>
      </c>
      <c r="J123" s="4" t="n">
        <v>-19984.71</v>
      </c>
    </row>
    <row r="124">
      <c r="A124" s="2" t="inlineStr">
        <is>
          <t>2025-09-21</t>
        </is>
      </c>
      <c r="B124" s="2" t="n">
        <v>9</v>
      </c>
      <c r="C124" s="2" t="inlineStr">
        <is>
          <t>SA</t>
        </is>
      </c>
      <c r="D124" s="2" t="inlineStr">
        <is>
          <t>CC1000</t>
        </is>
      </c>
      <c r="E124" s="2" t="inlineStr"/>
      <c r="F124" s="2" t="inlineStr">
        <is>
          <t>641000</t>
        </is>
      </c>
      <c r="G124" s="3" t="inlineStr">
        <is>
          <t>Salaires et charges sociales</t>
        </is>
      </c>
      <c r="H124" s="4" t="n">
        <v>22228.84</v>
      </c>
      <c r="I124" s="4" t="n">
        <v>0</v>
      </c>
      <c r="J124" s="4" t="n">
        <v>-22228.84</v>
      </c>
    </row>
    <row r="125">
      <c r="A125" s="2" t="inlineStr">
        <is>
          <t>2025-09-26</t>
        </is>
      </c>
      <c r="B125" s="2" t="n">
        <v>9</v>
      </c>
      <c r="C125" s="2" t="inlineStr">
        <is>
          <t>FV</t>
        </is>
      </c>
      <c r="D125" s="2" t="inlineStr">
        <is>
          <t>CC1000</t>
        </is>
      </c>
      <c r="E125" s="2" t="inlineStr">
        <is>
          <t>P02</t>
        </is>
      </c>
      <c r="F125" s="2" t="inlineStr">
        <is>
          <t>701000</t>
        </is>
      </c>
      <c r="G125" s="3" t="inlineStr">
        <is>
          <t>Ventes P02 mois 09/2025</t>
        </is>
      </c>
      <c r="H125" s="4" t="n">
        <v>0</v>
      </c>
      <c r="I125" s="4" t="n">
        <v>27699.15</v>
      </c>
      <c r="J125" s="4" t="n">
        <v>27699.15</v>
      </c>
    </row>
    <row r="126">
      <c r="A126" s="2" t="inlineStr">
        <is>
          <t>2025-09-26</t>
        </is>
      </c>
      <c r="B126" s="2" t="n">
        <v>9</v>
      </c>
      <c r="C126" s="2" t="inlineStr">
        <is>
          <t>SA</t>
        </is>
      </c>
      <c r="D126" s="2" t="inlineStr">
        <is>
          <t>CC4000</t>
        </is>
      </c>
      <c r="E126" s="2" t="inlineStr"/>
      <c r="F126" s="2" t="inlineStr">
        <is>
          <t>641001</t>
        </is>
      </c>
      <c r="G126" s="3" t="inlineStr">
        <is>
          <t>Salaires administration</t>
        </is>
      </c>
      <c r="H126" s="4" t="n">
        <v>6589</v>
      </c>
      <c r="I126" s="4" t="n">
        <v>0</v>
      </c>
      <c r="J126" s="4" t="n">
        <v>-6589</v>
      </c>
    </row>
    <row r="127">
      <c r="A127" s="2" t="inlineStr">
        <is>
          <t>2025-09-30</t>
        </is>
      </c>
      <c r="B127" s="2" t="n">
        <v>9</v>
      </c>
      <c r="C127" s="2" t="inlineStr">
        <is>
          <t>FV</t>
        </is>
      </c>
      <c r="D127" s="2" t="inlineStr">
        <is>
          <t>CC1000</t>
        </is>
      </c>
      <c r="E127" s="2" t="inlineStr">
        <is>
          <t>P01</t>
        </is>
      </c>
      <c r="F127" s="2" t="inlineStr">
        <is>
          <t>701000</t>
        </is>
      </c>
      <c r="G127" s="3" t="inlineStr">
        <is>
          <t>Ventes P01 mois 09/2025</t>
        </is>
      </c>
      <c r="H127" s="4" t="n">
        <v>0</v>
      </c>
      <c r="I127" s="4" t="n">
        <v>32730.12</v>
      </c>
      <c r="J127" s="4" t="n">
        <v>32730.12</v>
      </c>
    </row>
    <row r="128">
      <c r="A128" s="2" t="inlineStr">
        <is>
          <t>2025-10-03</t>
        </is>
      </c>
      <c r="B128" s="2" t="n">
        <v>10</v>
      </c>
      <c r="C128" s="2" t="inlineStr">
        <is>
          <t>FV</t>
        </is>
      </c>
      <c r="D128" s="2" t="inlineStr">
        <is>
          <t>CC1000</t>
        </is>
      </c>
      <c r="E128" s="2" t="inlineStr">
        <is>
          <t>P04</t>
        </is>
      </c>
      <c r="F128" s="2" t="inlineStr">
        <is>
          <t>701000</t>
        </is>
      </c>
      <c r="G128" s="3" t="inlineStr">
        <is>
          <t>Ventes P04 mois 10/2025</t>
        </is>
      </c>
      <c r="H128" s="4" t="n">
        <v>0</v>
      </c>
      <c r="I128" s="4" t="n">
        <v>14195.14</v>
      </c>
      <c r="J128" s="4" t="n">
        <v>14195.14</v>
      </c>
    </row>
    <row r="129">
      <c r="A129" s="2" t="inlineStr">
        <is>
          <t>2025-10-07</t>
        </is>
      </c>
      <c r="B129" s="2" t="n">
        <v>10</v>
      </c>
      <c r="C129" s="2" t="inlineStr">
        <is>
          <t>SA</t>
        </is>
      </c>
      <c r="D129" s="2" t="inlineStr">
        <is>
          <t>CC1000</t>
        </is>
      </c>
      <c r="E129" s="2" t="inlineStr"/>
      <c r="F129" s="2" t="inlineStr">
        <is>
          <t>613000</t>
        </is>
      </c>
      <c r="G129" s="3" t="inlineStr">
        <is>
          <t>Loyer et charges locatives</t>
        </is>
      </c>
      <c r="H129" s="4" t="n">
        <v>8492.68</v>
      </c>
      <c r="I129" s="4" t="n">
        <v>0</v>
      </c>
      <c r="J129" s="4" t="n">
        <v>-8492.68</v>
      </c>
    </row>
    <row r="130">
      <c r="A130" s="2" t="inlineStr">
        <is>
          <t>2025-10-13</t>
        </is>
      </c>
      <c r="B130" s="2" t="n">
        <v>10</v>
      </c>
      <c r="C130" s="2" t="inlineStr">
        <is>
          <t>SA</t>
        </is>
      </c>
      <c r="D130" s="2" t="inlineStr">
        <is>
          <t>CC3000</t>
        </is>
      </c>
      <c r="E130" s="2" t="inlineStr"/>
      <c r="F130" s="2" t="inlineStr">
        <is>
          <t>623000</t>
        </is>
      </c>
      <c r="G130" s="3" t="inlineStr">
        <is>
          <t>Publicité et marketing mois 10/2025</t>
        </is>
      </c>
      <c r="H130" s="4" t="n">
        <v>2637.48</v>
      </c>
      <c r="I130" s="4" t="n">
        <v>0</v>
      </c>
      <c r="J130" s="4" t="n">
        <v>-2637.48</v>
      </c>
    </row>
    <row r="131">
      <c r="A131" s="2" t="inlineStr">
        <is>
          <t>2025-10-13</t>
        </is>
      </c>
      <c r="B131" s="2" t="n">
        <v>10</v>
      </c>
      <c r="C131" s="2" t="inlineStr">
        <is>
          <t>SA</t>
        </is>
      </c>
      <c r="D131" s="2" t="inlineStr">
        <is>
          <t>CC2000</t>
        </is>
      </c>
      <c r="E131" s="2" t="inlineStr"/>
      <c r="F131" s="2" t="inlineStr">
        <is>
          <t>624000</t>
        </is>
      </c>
      <c r="G131" s="3" t="inlineStr">
        <is>
          <t>Transport et logistique mois 10/2025</t>
        </is>
      </c>
      <c r="H131" s="4" t="n">
        <v>2395.15</v>
      </c>
      <c r="I131" s="4" t="n">
        <v>0</v>
      </c>
      <c r="J131" s="4" t="n">
        <v>-2395.15</v>
      </c>
    </row>
    <row r="132">
      <c r="A132" s="2" t="inlineStr">
        <is>
          <t>2025-10-14</t>
        </is>
      </c>
      <c r="B132" s="2" t="n">
        <v>10</v>
      </c>
      <c r="C132" s="2" t="inlineStr">
        <is>
          <t>SA</t>
        </is>
      </c>
      <c r="D132" s="2" t="inlineStr">
        <is>
          <t>CC1000</t>
        </is>
      </c>
      <c r="E132" s="2" t="inlineStr"/>
      <c r="F132" s="2" t="inlineStr">
        <is>
          <t>641000</t>
        </is>
      </c>
      <c r="G132" s="3" t="inlineStr">
        <is>
          <t>Salaires et charges sociales</t>
        </is>
      </c>
      <c r="H132" s="4" t="n">
        <v>21652.02</v>
      </c>
      <c r="I132" s="4" t="n">
        <v>0</v>
      </c>
      <c r="J132" s="4" t="n">
        <v>-21652.02</v>
      </c>
    </row>
    <row r="133">
      <c r="A133" s="2" t="inlineStr">
        <is>
          <t>2025-10-15</t>
        </is>
      </c>
      <c r="B133" s="2" t="n">
        <v>10</v>
      </c>
      <c r="C133" s="2" t="inlineStr">
        <is>
          <t>FV</t>
        </is>
      </c>
      <c r="D133" s="2" t="inlineStr">
        <is>
          <t>CC1000</t>
        </is>
      </c>
      <c r="E133" s="2" t="inlineStr">
        <is>
          <t>P01</t>
        </is>
      </c>
      <c r="F133" s="2" t="inlineStr">
        <is>
          <t>701000</t>
        </is>
      </c>
      <c r="G133" s="3" t="inlineStr">
        <is>
          <t>Ventes P01 mois 10/2025</t>
        </is>
      </c>
      <c r="H133" s="4" t="n">
        <v>0</v>
      </c>
      <c r="I133" s="4" t="n">
        <v>34091.45</v>
      </c>
      <c r="J133" s="4" t="n">
        <v>34091.45</v>
      </c>
    </row>
    <row r="134">
      <c r="A134" s="2" t="inlineStr">
        <is>
          <t>2025-10-18</t>
        </is>
      </c>
      <c r="B134" s="2" t="n">
        <v>10</v>
      </c>
      <c r="C134" s="2" t="inlineStr">
        <is>
          <t>FA</t>
        </is>
      </c>
      <c r="D134" s="2" t="inlineStr">
        <is>
          <t>CC2000</t>
        </is>
      </c>
      <c r="E134" s="2" t="inlineStr">
        <is>
          <t>P02</t>
        </is>
      </c>
      <c r="F134" s="2" t="inlineStr">
        <is>
          <t>601000</t>
        </is>
      </c>
      <c r="G134" s="3" t="inlineStr">
        <is>
          <t>Achats marchandises P02 mois 10/2025</t>
        </is>
      </c>
      <c r="H134" s="4" t="n">
        <v>16304.28</v>
      </c>
      <c r="I134" s="4" t="n">
        <v>0</v>
      </c>
      <c r="J134" s="4" t="n">
        <v>-16304.28</v>
      </c>
    </row>
    <row r="135">
      <c r="A135" s="2" t="inlineStr">
        <is>
          <t>2025-10-21</t>
        </is>
      </c>
      <c r="B135" s="2" t="n">
        <v>10</v>
      </c>
      <c r="C135" s="2" t="inlineStr">
        <is>
          <t>FV</t>
        </is>
      </c>
      <c r="D135" s="2" t="inlineStr">
        <is>
          <t>CC1000</t>
        </is>
      </c>
      <c r="E135" s="2" t="inlineStr">
        <is>
          <t>P03</t>
        </is>
      </c>
      <c r="F135" s="2" t="inlineStr">
        <is>
          <t>701000</t>
        </is>
      </c>
      <c r="G135" s="3" t="inlineStr">
        <is>
          <t>Ventes P03 mois 10/2025</t>
        </is>
      </c>
      <c r="H135" s="4" t="n">
        <v>0</v>
      </c>
      <c r="I135" s="4" t="n">
        <v>21119.84</v>
      </c>
      <c r="J135" s="4" t="n">
        <v>21119.84</v>
      </c>
    </row>
    <row r="136">
      <c r="A136" s="2" t="inlineStr">
        <is>
          <t>2025-10-26</t>
        </is>
      </c>
      <c r="B136" s="2" t="n">
        <v>10</v>
      </c>
      <c r="C136" s="2" t="inlineStr">
        <is>
          <t>FV</t>
        </is>
      </c>
      <c r="D136" s="2" t="inlineStr">
        <is>
          <t>CC1000</t>
        </is>
      </c>
      <c r="E136" s="2" t="inlineStr">
        <is>
          <t>P02</t>
        </is>
      </c>
      <c r="F136" s="2" t="inlineStr">
        <is>
          <t>701000</t>
        </is>
      </c>
      <c r="G136" s="3" t="inlineStr">
        <is>
          <t>Ventes P02 mois 10/2025</t>
        </is>
      </c>
      <c r="H136" s="4" t="n">
        <v>0</v>
      </c>
      <c r="I136" s="4" t="n">
        <v>26776.27</v>
      </c>
      <c r="J136" s="4" t="n">
        <v>26776.27</v>
      </c>
    </row>
    <row r="137">
      <c r="A137" s="2" t="inlineStr">
        <is>
          <t>2025-10-26</t>
        </is>
      </c>
      <c r="B137" s="2" t="n">
        <v>10</v>
      </c>
      <c r="C137" s="2" t="inlineStr">
        <is>
          <t>SA</t>
        </is>
      </c>
      <c r="D137" s="2" t="inlineStr">
        <is>
          <t>CC4000</t>
        </is>
      </c>
      <c r="E137" s="2" t="inlineStr"/>
      <c r="F137" s="2" t="inlineStr">
        <is>
          <t>627000</t>
        </is>
      </c>
      <c r="G137" s="3" t="inlineStr">
        <is>
          <t>Frais bancaires et divers mois 10/2025</t>
        </is>
      </c>
      <c r="H137" s="4" t="n">
        <v>532.6</v>
      </c>
      <c r="I137" s="4" t="n">
        <v>0</v>
      </c>
      <c r="J137" s="4" t="n">
        <v>-532.6</v>
      </c>
    </row>
    <row r="138">
      <c r="A138" s="2" t="inlineStr">
        <is>
          <t>2025-10-27</t>
        </is>
      </c>
      <c r="B138" s="2" t="n">
        <v>10</v>
      </c>
      <c r="C138" s="2" t="inlineStr">
        <is>
          <t>FA</t>
        </is>
      </c>
      <c r="D138" s="2" t="inlineStr">
        <is>
          <t>CC2000</t>
        </is>
      </c>
      <c r="E138" s="2" t="inlineStr">
        <is>
          <t>P03</t>
        </is>
      </c>
      <c r="F138" s="2" t="inlineStr">
        <is>
          <t>601000</t>
        </is>
      </c>
      <c r="G138" s="3" t="inlineStr">
        <is>
          <t>Achats marchandises P03 mois 10/2025</t>
        </is>
      </c>
      <c r="H138" s="4" t="n">
        <v>13093.09</v>
      </c>
      <c r="I138" s="4" t="n">
        <v>0</v>
      </c>
      <c r="J138" s="4" t="n">
        <v>-13093.09</v>
      </c>
    </row>
    <row r="139">
      <c r="A139" s="2" t="inlineStr">
        <is>
          <t>2025-10-28</t>
        </is>
      </c>
      <c r="B139" s="2" t="n">
        <v>10</v>
      </c>
      <c r="C139" s="2" t="inlineStr">
        <is>
          <t>FA</t>
        </is>
      </c>
      <c r="D139" s="2" t="inlineStr">
        <is>
          <t>CC2000</t>
        </is>
      </c>
      <c r="E139" s="2" t="inlineStr">
        <is>
          <t>P04</t>
        </is>
      </c>
      <c r="F139" s="2" t="inlineStr">
        <is>
          <t>601000</t>
        </is>
      </c>
      <c r="G139" s="3" t="inlineStr">
        <is>
          <t>Achats marchandises P04 mois 10/2025</t>
        </is>
      </c>
      <c r="H139" s="4" t="n">
        <v>8717.370000000001</v>
      </c>
      <c r="I139" s="4" t="n">
        <v>0</v>
      </c>
      <c r="J139" s="4" t="n">
        <v>-8717.370000000001</v>
      </c>
    </row>
    <row r="140">
      <c r="A140" s="2" t="inlineStr">
        <is>
          <t>2025-10-29</t>
        </is>
      </c>
      <c r="B140" s="2" t="n">
        <v>10</v>
      </c>
      <c r="C140" s="2" t="inlineStr">
        <is>
          <t>SA</t>
        </is>
      </c>
      <c r="D140" s="2" t="inlineStr">
        <is>
          <t>CC4000</t>
        </is>
      </c>
      <c r="E140" s="2" t="inlineStr"/>
      <c r="F140" s="2" t="inlineStr">
        <is>
          <t>641001</t>
        </is>
      </c>
      <c r="G140" s="3" t="inlineStr">
        <is>
          <t>Salaires administration</t>
        </is>
      </c>
      <c r="H140" s="4" t="n">
        <v>6642.21</v>
      </c>
      <c r="I140" s="4" t="n">
        <v>0</v>
      </c>
      <c r="J140" s="4" t="n">
        <v>-6642.21</v>
      </c>
    </row>
    <row r="141">
      <c r="A141" s="2" t="inlineStr">
        <is>
          <t>2025-10-30</t>
        </is>
      </c>
      <c r="B141" s="2" t="n">
        <v>10</v>
      </c>
      <c r="C141" s="2" t="inlineStr">
        <is>
          <t>FA</t>
        </is>
      </c>
      <c r="D141" s="2" t="inlineStr">
        <is>
          <t>CC2000</t>
        </is>
      </c>
      <c r="E141" s="2" t="inlineStr">
        <is>
          <t>P01</t>
        </is>
      </c>
      <c r="F141" s="2" t="inlineStr">
        <is>
          <t>601000</t>
        </is>
      </c>
      <c r="G141" s="3" t="inlineStr">
        <is>
          <t>Achats marchandises P01 mois 10/2025</t>
        </is>
      </c>
      <c r="H141" s="4" t="n">
        <v>19090.68</v>
      </c>
      <c r="I141" s="4" t="n">
        <v>0</v>
      </c>
      <c r="J141" s="4" t="n">
        <v>-19090.68</v>
      </c>
    </row>
    <row r="142">
      <c r="A142" s="2" t="inlineStr">
        <is>
          <t>2025-11-02</t>
        </is>
      </c>
      <c r="B142" s="2" t="n">
        <v>11</v>
      </c>
      <c r="C142" s="2" t="inlineStr">
        <is>
          <t>FA</t>
        </is>
      </c>
      <c r="D142" s="2" t="inlineStr">
        <is>
          <t>CC2000</t>
        </is>
      </c>
      <c r="E142" s="2" t="inlineStr">
        <is>
          <t>P03</t>
        </is>
      </c>
      <c r="F142" s="2" t="inlineStr">
        <is>
          <t>601000</t>
        </is>
      </c>
      <c r="G142" s="3" t="inlineStr">
        <is>
          <t>Achats marchandises P03 mois 11/2025</t>
        </is>
      </c>
      <c r="H142" s="4" t="n">
        <v>14389.6</v>
      </c>
      <c r="I142" s="4" t="n">
        <v>0</v>
      </c>
      <c r="J142" s="4" t="n">
        <v>-14389.6</v>
      </c>
    </row>
    <row r="143">
      <c r="A143" s="2" t="inlineStr">
        <is>
          <t>2025-11-03</t>
        </is>
      </c>
      <c r="B143" s="2" t="n">
        <v>11</v>
      </c>
      <c r="C143" s="2" t="inlineStr">
        <is>
          <t>SA</t>
        </is>
      </c>
      <c r="D143" s="2" t="inlineStr">
        <is>
          <t>CC4000</t>
        </is>
      </c>
      <c r="E143" s="2" t="inlineStr"/>
      <c r="F143" s="2" t="inlineStr">
        <is>
          <t>627000</t>
        </is>
      </c>
      <c r="G143" s="3" t="inlineStr">
        <is>
          <t>Frais bancaires et divers mois 11/2025</t>
        </is>
      </c>
      <c r="H143" s="4" t="n">
        <v>434.26</v>
      </c>
      <c r="I143" s="4" t="n">
        <v>0</v>
      </c>
      <c r="J143" s="4" t="n">
        <v>-434.26</v>
      </c>
    </row>
    <row r="144">
      <c r="A144" s="2" t="inlineStr">
        <is>
          <t>2025-11-06</t>
        </is>
      </c>
      <c r="B144" s="2" t="n">
        <v>11</v>
      </c>
      <c r="C144" s="2" t="inlineStr">
        <is>
          <t>SA</t>
        </is>
      </c>
      <c r="D144" s="2" t="inlineStr">
        <is>
          <t>CC4000</t>
        </is>
      </c>
      <c r="E144" s="2" t="inlineStr"/>
      <c r="F144" s="2" t="inlineStr">
        <is>
          <t>641001</t>
        </is>
      </c>
      <c r="G144" s="3" t="inlineStr">
        <is>
          <t>Salaires administration</t>
        </is>
      </c>
      <c r="H144" s="4" t="n">
        <v>6637.56</v>
      </c>
      <c r="I144" s="4" t="n">
        <v>0</v>
      </c>
      <c r="J144" s="4" t="n">
        <v>-6637.56</v>
      </c>
    </row>
    <row r="145">
      <c r="A145" s="2" t="inlineStr">
        <is>
          <t>2025-11-06</t>
        </is>
      </c>
      <c r="B145" s="2" t="n">
        <v>11</v>
      </c>
      <c r="C145" s="2" t="inlineStr">
        <is>
          <t>SA</t>
        </is>
      </c>
      <c r="D145" s="2" t="inlineStr">
        <is>
          <t>CC2000</t>
        </is>
      </c>
      <c r="E145" s="2" t="inlineStr"/>
      <c r="F145" s="2" t="inlineStr">
        <is>
          <t>624000</t>
        </is>
      </c>
      <c r="G145" s="3" t="inlineStr">
        <is>
          <t>Transport et logistique mois 11/2025</t>
        </is>
      </c>
      <c r="H145" s="4" t="n">
        <v>2949.59</v>
      </c>
      <c r="I145" s="4" t="n">
        <v>0</v>
      </c>
      <c r="J145" s="4" t="n">
        <v>-2949.59</v>
      </c>
    </row>
    <row r="146">
      <c r="A146" s="2" t="inlineStr">
        <is>
          <t>2025-11-10</t>
        </is>
      </c>
      <c r="B146" s="2" t="n">
        <v>11</v>
      </c>
      <c r="C146" s="2" t="inlineStr">
        <is>
          <t>FV</t>
        </is>
      </c>
      <c r="D146" s="2" t="inlineStr">
        <is>
          <t>CC1000</t>
        </is>
      </c>
      <c r="E146" s="2" t="inlineStr">
        <is>
          <t>P01</t>
        </is>
      </c>
      <c r="F146" s="2" t="inlineStr">
        <is>
          <t>701000</t>
        </is>
      </c>
      <c r="G146" s="3" t="inlineStr">
        <is>
          <t>Ventes P01 mois 11/2025</t>
        </is>
      </c>
      <c r="H146" s="4" t="n">
        <v>0</v>
      </c>
      <c r="I146" s="4" t="n">
        <v>45453.13</v>
      </c>
      <c r="J146" s="4" t="n">
        <v>45453.13</v>
      </c>
    </row>
    <row r="147">
      <c r="A147" s="2" t="inlineStr">
        <is>
          <t>2025-11-10</t>
        </is>
      </c>
      <c r="B147" s="2" t="n">
        <v>11</v>
      </c>
      <c r="C147" s="2" t="inlineStr">
        <is>
          <t>FV</t>
        </is>
      </c>
      <c r="D147" s="2" t="inlineStr">
        <is>
          <t>CC1000</t>
        </is>
      </c>
      <c r="E147" s="2" t="inlineStr">
        <is>
          <t>P03</t>
        </is>
      </c>
      <c r="F147" s="2" t="inlineStr">
        <is>
          <t>701000</t>
        </is>
      </c>
      <c r="G147" s="3" t="inlineStr">
        <is>
          <t>Ventes P03 mois 11/2025</t>
        </is>
      </c>
      <c r="H147" s="4" t="n">
        <v>0</v>
      </c>
      <c r="I147" s="4" t="n">
        <v>25814.83</v>
      </c>
      <c r="J147" s="4" t="n">
        <v>25814.83</v>
      </c>
    </row>
    <row r="148">
      <c r="A148" s="2" t="inlineStr">
        <is>
          <t>2025-11-11</t>
        </is>
      </c>
      <c r="B148" s="2" t="n">
        <v>11</v>
      </c>
      <c r="C148" s="2" t="inlineStr">
        <is>
          <t>FA</t>
        </is>
      </c>
      <c r="D148" s="2" t="inlineStr">
        <is>
          <t>CC2000</t>
        </is>
      </c>
      <c r="E148" s="2" t="inlineStr">
        <is>
          <t>P04</t>
        </is>
      </c>
      <c r="F148" s="2" t="inlineStr">
        <is>
          <t>601000</t>
        </is>
      </c>
      <c r="G148" s="3" t="inlineStr">
        <is>
          <t>Achats marchandises P04 mois 11/2025</t>
        </is>
      </c>
      <c r="H148" s="4" t="n">
        <v>10279.65</v>
      </c>
      <c r="I148" s="4" t="n">
        <v>0</v>
      </c>
      <c r="J148" s="4" t="n">
        <v>-10279.65</v>
      </c>
    </row>
    <row r="149">
      <c r="A149" s="2" t="inlineStr">
        <is>
          <t>2025-11-16</t>
        </is>
      </c>
      <c r="B149" s="2" t="n">
        <v>11</v>
      </c>
      <c r="C149" s="2" t="inlineStr">
        <is>
          <t>FA</t>
        </is>
      </c>
      <c r="D149" s="2" t="inlineStr">
        <is>
          <t>CC2000</t>
        </is>
      </c>
      <c r="E149" s="2" t="inlineStr">
        <is>
          <t>P02</t>
        </is>
      </c>
      <c r="F149" s="2" t="inlineStr">
        <is>
          <t>601000</t>
        </is>
      </c>
      <c r="G149" s="3" t="inlineStr">
        <is>
          <t>Achats marchandises P02 mois 11/2025</t>
        </is>
      </c>
      <c r="H149" s="4" t="n">
        <v>22254.95</v>
      </c>
      <c r="I149" s="4" t="n">
        <v>0</v>
      </c>
      <c r="J149" s="4" t="n">
        <v>-22254.95</v>
      </c>
    </row>
    <row r="150">
      <c r="A150" s="2" t="inlineStr">
        <is>
          <t>2025-11-17</t>
        </is>
      </c>
      <c r="B150" s="2" t="n">
        <v>11</v>
      </c>
      <c r="C150" s="2" t="inlineStr">
        <is>
          <t>SA</t>
        </is>
      </c>
      <c r="D150" s="2" t="inlineStr">
        <is>
          <t>CC3000</t>
        </is>
      </c>
      <c r="E150" s="2" t="inlineStr"/>
      <c r="F150" s="2" t="inlineStr">
        <is>
          <t>623000</t>
        </is>
      </c>
      <c r="G150" s="3" t="inlineStr">
        <is>
          <t>Publicité et marketing mois 11/2025</t>
        </is>
      </c>
      <c r="H150" s="4" t="n">
        <v>3190.8</v>
      </c>
      <c r="I150" s="4" t="n">
        <v>0</v>
      </c>
      <c r="J150" s="4" t="n">
        <v>-3190.8</v>
      </c>
    </row>
    <row r="151">
      <c r="A151" s="2" t="inlineStr">
        <is>
          <t>2025-11-18</t>
        </is>
      </c>
      <c r="B151" s="2" t="n">
        <v>11</v>
      </c>
      <c r="C151" s="2" t="inlineStr">
        <is>
          <t>FV</t>
        </is>
      </c>
      <c r="D151" s="2" t="inlineStr">
        <is>
          <t>CC1000</t>
        </is>
      </c>
      <c r="E151" s="2" t="inlineStr">
        <is>
          <t>P02</t>
        </is>
      </c>
      <c r="F151" s="2" t="inlineStr">
        <is>
          <t>701000</t>
        </is>
      </c>
      <c r="G151" s="3" t="inlineStr">
        <is>
          <t>Ventes P02 mois 11/2025</t>
        </is>
      </c>
      <c r="H151" s="4" t="n">
        <v>0</v>
      </c>
      <c r="I151" s="4" t="n">
        <v>37532.61</v>
      </c>
      <c r="J151" s="4" t="n">
        <v>37532.61</v>
      </c>
    </row>
    <row r="152">
      <c r="A152" s="2" t="inlineStr">
        <is>
          <t>2025-11-18</t>
        </is>
      </c>
      <c r="B152" s="2" t="n">
        <v>11</v>
      </c>
      <c r="C152" s="2" t="inlineStr">
        <is>
          <t>FV</t>
        </is>
      </c>
      <c r="D152" s="2" t="inlineStr">
        <is>
          <t>CC1000</t>
        </is>
      </c>
      <c r="E152" s="2" t="inlineStr">
        <is>
          <t>P04</t>
        </is>
      </c>
      <c r="F152" s="2" t="inlineStr">
        <is>
          <t>701000</t>
        </is>
      </c>
      <c r="G152" s="3" t="inlineStr">
        <is>
          <t>Ventes P04 mois 11/2025</t>
        </is>
      </c>
      <c r="H152" s="4" t="n">
        <v>0</v>
      </c>
      <c r="I152" s="4" t="n">
        <v>18866.02</v>
      </c>
      <c r="J152" s="4" t="n">
        <v>18866.02</v>
      </c>
    </row>
    <row r="153">
      <c r="A153" s="2" t="inlineStr">
        <is>
          <t>2025-11-19</t>
        </is>
      </c>
      <c r="B153" s="2" t="n">
        <v>11</v>
      </c>
      <c r="C153" s="2" t="inlineStr">
        <is>
          <t>SA</t>
        </is>
      </c>
      <c r="D153" s="2" t="inlineStr">
        <is>
          <t>CC1000</t>
        </is>
      </c>
      <c r="E153" s="2" t="inlineStr"/>
      <c r="F153" s="2" t="inlineStr">
        <is>
          <t>641000</t>
        </is>
      </c>
      <c r="G153" s="3" t="inlineStr">
        <is>
          <t>Salaires et charges sociales</t>
        </is>
      </c>
      <c r="H153" s="4" t="n">
        <v>21415.46</v>
      </c>
      <c r="I153" s="4" t="n">
        <v>0</v>
      </c>
      <c r="J153" s="4" t="n">
        <v>-21415.46</v>
      </c>
    </row>
    <row r="154">
      <c r="A154" s="2" t="inlineStr">
        <is>
          <t>2025-11-24</t>
        </is>
      </c>
      <c r="B154" s="2" t="n">
        <v>11</v>
      </c>
      <c r="C154" s="2" t="inlineStr">
        <is>
          <t>FA</t>
        </is>
      </c>
      <c r="D154" s="2" t="inlineStr">
        <is>
          <t>CC2000</t>
        </is>
      </c>
      <c r="E154" s="2" t="inlineStr">
        <is>
          <t>P01</t>
        </is>
      </c>
      <c r="F154" s="2" t="inlineStr">
        <is>
          <t>601000</t>
        </is>
      </c>
      <c r="G154" s="3" t="inlineStr">
        <is>
          <t>Achats marchandises P01 mois 11/2025</t>
        </is>
      </c>
      <c r="H154" s="4" t="n">
        <v>26082.85</v>
      </c>
      <c r="I154" s="4" t="n">
        <v>0</v>
      </c>
      <c r="J154" s="4" t="n">
        <v>-26082.85</v>
      </c>
    </row>
    <row r="155">
      <c r="A155" s="2" t="inlineStr">
        <is>
          <t>2025-11-30</t>
        </is>
      </c>
      <c r="B155" s="2" t="n">
        <v>11</v>
      </c>
      <c r="C155" s="2" t="inlineStr">
        <is>
          <t>SA</t>
        </is>
      </c>
      <c r="D155" s="2" t="inlineStr">
        <is>
          <t>CC1000</t>
        </is>
      </c>
      <c r="E155" s="2" t="inlineStr"/>
      <c r="F155" s="2" t="inlineStr">
        <is>
          <t>613000</t>
        </is>
      </c>
      <c r="G155" s="3" t="inlineStr">
        <is>
          <t>Loyer et charges locatives</t>
        </is>
      </c>
      <c r="H155" s="4" t="n">
        <v>8488.16</v>
      </c>
      <c r="I155" s="4" t="n">
        <v>0</v>
      </c>
      <c r="J155" s="4" t="n">
        <v>-8488.16</v>
      </c>
    </row>
    <row r="156">
      <c r="A156" s="2" t="inlineStr">
        <is>
          <t>2025-12-02</t>
        </is>
      </c>
      <c r="B156" s="2" t="n">
        <v>12</v>
      </c>
      <c r="C156" s="2" t="inlineStr">
        <is>
          <t>FA</t>
        </is>
      </c>
      <c r="D156" s="2" t="inlineStr">
        <is>
          <t>CC2000</t>
        </is>
      </c>
      <c r="E156" s="2" t="inlineStr">
        <is>
          <t>P02</t>
        </is>
      </c>
      <c r="F156" s="2" t="inlineStr">
        <is>
          <t>601000</t>
        </is>
      </c>
      <c r="G156" s="3" t="inlineStr">
        <is>
          <t>Achats marchandises P02 mois 12/2025</t>
        </is>
      </c>
      <c r="H156" s="4" t="n">
        <v>25430.35</v>
      </c>
      <c r="I156" s="4" t="n">
        <v>0</v>
      </c>
      <c r="J156" s="4" t="n">
        <v>-25430.35</v>
      </c>
    </row>
    <row r="157">
      <c r="A157" s="2" t="inlineStr">
        <is>
          <t>2025-12-03</t>
        </is>
      </c>
      <c r="B157" s="2" t="n">
        <v>12</v>
      </c>
      <c r="C157" s="2" t="inlineStr">
        <is>
          <t>SA</t>
        </is>
      </c>
      <c r="D157" s="2" t="inlineStr">
        <is>
          <t>CC2000</t>
        </is>
      </c>
      <c r="E157" s="2" t="inlineStr"/>
      <c r="F157" s="2" t="inlineStr">
        <is>
          <t>624000</t>
        </is>
      </c>
      <c r="G157" s="3" t="inlineStr">
        <is>
          <t>Transport et logistique mois 12/2025</t>
        </is>
      </c>
      <c r="H157" s="4" t="n">
        <v>3970.41</v>
      </c>
      <c r="I157" s="4" t="n">
        <v>0</v>
      </c>
      <c r="J157" s="4" t="n">
        <v>-3970.41</v>
      </c>
    </row>
    <row r="158">
      <c r="A158" s="2" t="inlineStr">
        <is>
          <t>2025-12-05</t>
        </is>
      </c>
      <c r="B158" s="2" t="n">
        <v>12</v>
      </c>
      <c r="C158" s="2" t="inlineStr">
        <is>
          <t>SA</t>
        </is>
      </c>
      <c r="D158" s="2" t="inlineStr">
        <is>
          <t>CC1000</t>
        </is>
      </c>
      <c r="E158" s="2" t="inlineStr"/>
      <c r="F158" s="2" t="inlineStr">
        <is>
          <t>613000</t>
        </is>
      </c>
      <c r="G158" s="3" t="inlineStr">
        <is>
          <t>Loyer et charges locatives</t>
        </is>
      </c>
      <c r="H158" s="4" t="n">
        <v>8380.459999999999</v>
      </c>
      <c r="I158" s="4" t="n">
        <v>0</v>
      </c>
      <c r="J158" s="4" t="n">
        <v>-8380.459999999999</v>
      </c>
    </row>
    <row r="159">
      <c r="A159" s="2" t="inlineStr">
        <is>
          <t>2025-12-08</t>
        </is>
      </c>
      <c r="B159" s="2" t="n">
        <v>12</v>
      </c>
      <c r="C159" s="2" t="inlineStr">
        <is>
          <t>FV</t>
        </is>
      </c>
      <c r="D159" s="2" t="inlineStr">
        <is>
          <t>CC1000</t>
        </is>
      </c>
      <c r="E159" s="2" t="inlineStr">
        <is>
          <t>P01</t>
        </is>
      </c>
      <c r="F159" s="2" t="inlineStr">
        <is>
          <t>701000</t>
        </is>
      </c>
      <c r="G159" s="3" t="inlineStr">
        <is>
          <t>Ventes P01 mois 12/2025</t>
        </is>
      </c>
      <c r="H159" s="4" t="n">
        <v>0</v>
      </c>
      <c r="I159" s="4" t="n">
        <v>52460.58</v>
      </c>
      <c r="J159" s="4" t="n">
        <v>52460.58</v>
      </c>
    </row>
    <row r="160">
      <c r="A160" s="2" t="inlineStr">
        <is>
          <t>2025-12-08</t>
        </is>
      </c>
      <c r="B160" s="2" t="n">
        <v>12</v>
      </c>
      <c r="C160" s="2" t="inlineStr">
        <is>
          <t>FV</t>
        </is>
      </c>
      <c r="D160" s="2" t="inlineStr">
        <is>
          <t>CC1000</t>
        </is>
      </c>
      <c r="E160" s="2" t="inlineStr">
        <is>
          <t>P02</t>
        </is>
      </c>
      <c r="F160" s="2" t="inlineStr">
        <is>
          <t>701000</t>
        </is>
      </c>
      <c r="G160" s="3" t="inlineStr">
        <is>
          <t>Ventes P02 mois 12/2025</t>
        </is>
      </c>
      <c r="H160" s="4" t="n">
        <v>0</v>
      </c>
      <c r="I160" s="4" t="n">
        <v>43373.29</v>
      </c>
      <c r="J160" s="4" t="n">
        <v>43373.29</v>
      </c>
    </row>
    <row r="161">
      <c r="A161" s="2" t="inlineStr">
        <is>
          <t>2025-12-08</t>
        </is>
      </c>
      <c r="B161" s="2" t="n">
        <v>12</v>
      </c>
      <c r="C161" s="2" t="inlineStr">
        <is>
          <t>SA</t>
        </is>
      </c>
      <c r="D161" s="2" t="inlineStr">
        <is>
          <t>CC1000</t>
        </is>
      </c>
      <c r="E161" s="2" t="inlineStr"/>
      <c r="F161" s="2" t="inlineStr">
        <is>
          <t>641000</t>
        </is>
      </c>
      <c r="G161" s="3" t="inlineStr">
        <is>
          <t>Salaires et charges sociales</t>
        </is>
      </c>
      <c r="H161" s="4" t="n">
        <v>22285.37</v>
      </c>
      <c r="I161" s="4" t="n">
        <v>0</v>
      </c>
      <c r="J161" s="4" t="n">
        <v>-22285.37</v>
      </c>
    </row>
    <row r="162">
      <c r="A162" s="2" t="inlineStr">
        <is>
          <t>2025-12-10</t>
        </is>
      </c>
      <c r="B162" s="2" t="n">
        <v>12</v>
      </c>
      <c r="C162" s="2" t="inlineStr">
        <is>
          <t>SA</t>
        </is>
      </c>
      <c r="D162" s="2" t="inlineStr">
        <is>
          <t>CC4000</t>
        </is>
      </c>
      <c r="E162" s="2" t="inlineStr"/>
      <c r="F162" s="2" t="inlineStr">
        <is>
          <t>641001</t>
        </is>
      </c>
      <c r="G162" s="3" t="inlineStr">
        <is>
          <t>Salaires administration</t>
        </is>
      </c>
      <c r="H162" s="4" t="n">
        <v>6566.96</v>
      </c>
      <c r="I162" s="4" t="n">
        <v>0</v>
      </c>
      <c r="J162" s="4" t="n">
        <v>-6566.96</v>
      </c>
    </row>
    <row r="163">
      <c r="A163" s="2" t="inlineStr">
        <is>
          <t>2025-12-14</t>
        </is>
      </c>
      <c r="B163" s="2" t="n">
        <v>12</v>
      </c>
      <c r="C163" s="2" t="inlineStr">
        <is>
          <t>FV</t>
        </is>
      </c>
      <c r="D163" s="2" t="inlineStr">
        <is>
          <t>CC1000</t>
        </is>
      </c>
      <c r="E163" s="2" t="inlineStr">
        <is>
          <t>P03</t>
        </is>
      </c>
      <c r="F163" s="2" t="inlineStr">
        <is>
          <t>701000</t>
        </is>
      </c>
      <c r="G163" s="3" t="inlineStr">
        <is>
          <t>Ventes P03 mois 12/2025</t>
        </is>
      </c>
      <c r="H163" s="4" t="n">
        <v>0</v>
      </c>
      <c r="I163" s="4" t="n">
        <v>32688.69</v>
      </c>
      <c r="J163" s="4" t="n">
        <v>32688.69</v>
      </c>
    </row>
    <row r="164">
      <c r="A164" s="2" t="inlineStr">
        <is>
          <t>2025-12-19</t>
        </is>
      </c>
      <c r="B164" s="2" t="n">
        <v>12</v>
      </c>
      <c r="C164" s="2" t="inlineStr">
        <is>
          <t>FA</t>
        </is>
      </c>
      <c r="D164" s="2" t="inlineStr">
        <is>
          <t>CC2000</t>
        </is>
      </c>
      <c r="E164" s="2" t="inlineStr">
        <is>
          <t>P03</t>
        </is>
      </c>
      <c r="F164" s="2" t="inlineStr">
        <is>
          <t>601000</t>
        </is>
      </c>
      <c r="G164" s="3" t="inlineStr">
        <is>
          <t>Achats marchandises P03 mois 12/2025</t>
        </is>
      </c>
      <c r="H164" s="4" t="n">
        <v>19370.99</v>
      </c>
      <c r="I164" s="4" t="n">
        <v>0</v>
      </c>
      <c r="J164" s="4" t="n">
        <v>-19370.99</v>
      </c>
    </row>
    <row r="165">
      <c r="A165" s="2" t="inlineStr">
        <is>
          <t>2025-12-20</t>
        </is>
      </c>
      <c r="B165" s="2" t="n">
        <v>12</v>
      </c>
      <c r="C165" s="2" t="inlineStr">
        <is>
          <t>SA</t>
        </is>
      </c>
      <c r="D165" s="2" t="inlineStr">
        <is>
          <t>CC4000</t>
        </is>
      </c>
      <c r="E165" s="2" t="inlineStr"/>
      <c r="F165" s="2" t="inlineStr">
        <is>
          <t>627000</t>
        </is>
      </c>
      <c r="G165" s="3" t="inlineStr">
        <is>
          <t>Frais bancaires et divers mois 12/2025</t>
        </is>
      </c>
      <c r="H165" s="4" t="n">
        <v>404.66</v>
      </c>
      <c r="I165" s="4" t="n">
        <v>0</v>
      </c>
      <c r="J165" s="4" t="n">
        <v>-404.66</v>
      </c>
    </row>
    <row r="166">
      <c r="A166" s="2" t="inlineStr">
        <is>
          <t>2025-12-22</t>
        </is>
      </c>
      <c r="B166" s="2" t="n">
        <v>12</v>
      </c>
      <c r="C166" s="2" t="inlineStr">
        <is>
          <t>FA</t>
        </is>
      </c>
      <c r="D166" s="2" t="inlineStr">
        <is>
          <t>CC2000</t>
        </is>
      </c>
      <c r="E166" s="2" t="inlineStr">
        <is>
          <t>P04</t>
        </is>
      </c>
      <c r="F166" s="2" t="inlineStr">
        <is>
          <t>601000</t>
        </is>
      </c>
      <c r="G166" s="3" t="inlineStr">
        <is>
          <t>Achats marchandises P04 mois 12/2025</t>
        </is>
      </c>
      <c r="H166" s="4" t="n">
        <v>12310.75</v>
      </c>
      <c r="I166" s="4" t="n">
        <v>0</v>
      </c>
      <c r="J166" s="4" t="n">
        <v>-12310.75</v>
      </c>
    </row>
    <row r="167">
      <c r="A167" s="2" t="inlineStr">
        <is>
          <t>2025-12-30</t>
        </is>
      </c>
      <c r="B167" s="2" t="n">
        <v>12</v>
      </c>
      <c r="C167" s="2" t="inlineStr">
        <is>
          <t>FV</t>
        </is>
      </c>
      <c r="D167" s="2" t="inlineStr">
        <is>
          <t>CC1000</t>
        </is>
      </c>
      <c r="E167" s="2" t="inlineStr">
        <is>
          <t>P04</t>
        </is>
      </c>
      <c r="F167" s="2" t="inlineStr">
        <is>
          <t>701000</t>
        </is>
      </c>
      <c r="G167" s="3" t="inlineStr">
        <is>
          <t>Ventes P04 mois 12/2025</t>
        </is>
      </c>
      <c r="H167" s="4" t="n">
        <v>0</v>
      </c>
      <c r="I167" s="4" t="n">
        <v>21949.72</v>
      </c>
      <c r="J167" s="4" t="n">
        <v>21949.72</v>
      </c>
    </row>
    <row r="168">
      <c r="A168" s="2" t="inlineStr">
        <is>
          <t>2025-12-30</t>
        </is>
      </c>
      <c r="B168" s="2" t="n">
        <v>12</v>
      </c>
      <c r="C168" s="2" t="inlineStr">
        <is>
          <t>SA</t>
        </is>
      </c>
      <c r="D168" s="2" t="inlineStr">
        <is>
          <t>CC3000</t>
        </is>
      </c>
      <c r="E168" s="2" t="inlineStr"/>
      <c r="F168" s="2" t="inlineStr">
        <is>
          <t>623000</t>
        </is>
      </c>
      <c r="G168" s="3" t="inlineStr">
        <is>
          <t>Publicité et marketing mois 12/2025</t>
        </is>
      </c>
      <c r="H168" s="4" t="n">
        <v>4264.56</v>
      </c>
      <c r="I168" s="4" t="n">
        <v>0</v>
      </c>
      <c r="J168" s="4" t="n">
        <v>-4264.56</v>
      </c>
    </row>
    <row r="169">
      <c r="A169" s="2" t="inlineStr">
        <is>
          <t>2025-12-31</t>
        </is>
      </c>
      <c r="B169" s="2" t="n">
        <v>12</v>
      </c>
      <c r="C169" s="2" t="inlineStr">
        <is>
          <t>FA</t>
        </is>
      </c>
      <c r="D169" s="2" t="inlineStr">
        <is>
          <t>CC2000</t>
        </is>
      </c>
      <c r="E169" s="2" t="inlineStr">
        <is>
          <t>P01</t>
        </is>
      </c>
      <c r="F169" s="2" t="inlineStr">
        <is>
          <t>601000</t>
        </is>
      </c>
      <c r="G169" s="3" t="inlineStr">
        <is>
          <t>Achats marchandises P01 mois 12/2025</t>
        </is>
      </c>
      <c r="H169" s="4" t="n">
        <v>30023.3</v>
      </c>
      <c r="I169" s="4" t="n">
        <v>0</v>
      </c>
      <c r="J169" s="4" t="n">
        <v>-30023.3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</cols>
  <sheetData>
    <row r="1" ht="28" customHeight="1">
      <c r="A1" s="5" t="inlineStr">
        <is>
          <t>LuxMode Retail — Tableau de Bord Financier 2025</t>
        </is>
      </c>
    </row>
    <row r="2" ht="16" customHeight="1">
      <c r="A2" s="6" t="inlineStr">
        <is>
          <t>Période : Janvier – Décembre 2025  |  Entreprise : LuxMode Retail  |  Devise : EUR</t>
        </is>
      </c>
    </row>
    <row r="3" ht="30" customHeight="1">
      <c r="B3" s="1" t="inlineStr">
        <is>
          <t>Jan</t>
        </is>
      </c>
      <c r="C3" s="1" t="inlineStr">
        <is>
          <t>Fév</t>
        </is>
      </c>
      <c r="D3" s="1" t="inlineStr">
        <is>
          <t>Mar</t>
        </is>
      </c>
      <c r="E3" s="1" t="inlineStr">
        <is>
          <t>Avr</t>
        </is>
      </c>
      <c r="F3" s="1" t="inlineStr">
        <is>
          <t>Mai</t>
        </is>
      </c>
      <c r="G3" s="1" t="inlineStr">
        <is>
          <t>Juin</t>
        </is>
      </c>
      <c r="H3" s="1" t="inlineStr">
        <is>
          <t>Juil</t>
        </is>
      </c>
      <c r="I3" s="1" t="inlineStr">
        <is>
          <t>Août</t>
        </is>
      </c>
      <c r="J3" s="1" t="inlineStr">
        <is>
          <t>Sep</t>
        </is>
      </c>
      <c r="K3" s="1" t="inlineStr">
        <is>
          <t>Oct</t>
        </is>
      </c>
      <c r="L3" s="1" t="inlineStr">
        <is>
          <t>Nov</t>
        </is>
      </c>
      <c r="M3" s="1" t="inlineStr">
        <is>
          <t>Déc</t>
        </is>
      </c>
      <c r="N3" s="1" t="inlineStr">
        <is>
          <t>TOTAL ANNUEL</t>
        </is>
      </c>
    </row>
    <row r="4" ht="18" customHeight="1">
      <c r="A4" s="7" t="inlineStr">
        <is>
          <t>Chiffre d'Affaires (€)</t>
        </is>
      </c>
      <c r="B4" s="8" t="n">
        <v>80832.14</v>
      </c>
      <c r="C4" s="8" t="n">
        <v>77471.42999999999</v>
      </c>
      <c r="D4" s="8" t="n">
        <v>89100.69</v>
      </c>
      <c r="E4" s="8" t="n">
        <v>97108.34</v>
      </c>
      <c r="F4" s="8" t="n">
        <v>100464.36</v>
      </c>
      <c r="G4" s="8" t="n">
        <v>96274.10000000001</v>
      </c>
      <c r="H4" s="8" t="n">
        <v>121271.03</v>
      </c>
      <c r="I4" s="8" t="n">
        <v>110991.13</v>
      </c>
      <c r="J4" s="8" t="n">
        <v>95927.45</v>
      </c>
      <c r="K4" s="8" t="n">
        <v>96182.7</v>
      </c>
      <c r="L4" s="8" t="n">
        <v>127666.59</v>
      </c>
      <c r="M4" s="8" t="n">
        <v>150472.28</v>
      </c>
      <c r="N4" s="9">
        <f>SUM(B4:M4)</f>
        <v/>
      </c>
    </row>
    <row r="5" ht="18" customHeight="1">
      <c r="A5" s="7" t="inlineStr">
        <is>
          <t>Coût des Marchandises Vendues (€)</t>
        </is>
      </c>
      <c r="B5" s="8" t="n">
        <v>46650.21</v>
      </c>
      <c r="C5" s="8" t="n">
        <v>43492.57</v>
      </c>
      <c r="D5" s="8" t="n">
        <v>52290.48</v>
      </c>
      <c r="E5" s="8" t="n">
        <v>58035.15</v>
      </c>
      <c r="F5" s="8" t="n">
        <v>59548.04</v>
      </c>
      <c r="G5" s="8" t="n">
        <v>55277.8</v>
      </c>
      <c r="H5" s="8" t="n">
        <v>71957.05</v>
      </c>
      <c r="I5" s="8" t="n">
        <v>64413.59</v>
      </c>
      <c r="J5" s="8" t="n">
        <v>57272.03</v>
      </c>
      <c r="K5" s="8" t="n">
        <v>57205.42</v>
      </c>
      <c r="L5" s="8" t="n">
        <v>73007.05</v>
      </c>
      <c r="M5" s="8" t="n">
        <v>87135.39</v>
      </c>
      <c r="N5" s="9">
        <f>SUM(B5:M5)</f>
        <v/>
      </c>
    </row>
    <row r="6" ht="18" customHeight="1">
      <c r="A6" s="10" t="inlineStr">
        <is>
          <t>Marge Brute (€)</t>
        </is>
      </c>
      <c r="B6" s="11">
        <f>B4-B5</f>
        <v/>
      </c>
      <c r="C6" s="11">
        <f>C4-C5</f>
        <v/>
      </c>
      <c r="D6" s="11">
        <f>D4-D5</f>
        <v/>
      </c>
      <c r="E6" s="11">
        <f>E4-E5</f>
        <v/>
      </c>
      <c r="F6" s="11">
        <f>F4-F5</f>
        <v/>
      </c>
      <c r="G6" s="11">
        <f>G4-G5</f>
        <v/>
      </c>
      <c r="H6" s="11">
        <f>H4-H5</f>
        <v/>
      </c>
      <c r="I6" s="11">
        <f>I4-I5</f>
        <v/>
      </c>
      <c r="J6" s="11">
        <f>J4-J5</f>
        <v/>
      </c>
      <c r="K6" s="11">
        <f>K4-K5</f>
        <v/>
      </c>
      <c r="L6" s="11">
        <f>L4-L5</f>
        <v/>
      </c>
      <c r="M6" s="11">
        <f>M4-M5</f>
        <v/>
      </c>
      <c r="N6" s="9">
        <f>SUM(B6:M6)</f>
        <v/>
      </c>
    </row>
    <row r="7" ht="18" customHeight="1">
      <c r="A7" s="7" t="inlineStr">
        <is>
          <t>Taux de Marge Brute (%)</t>
        </is>
      </c>
      <c r="B7" s="12">
        <f>IF(B4=0,0,B6/B4)</f>
        <v/>
      </c>
      <c r="C7" s="12">
        <f>IF(C4=0,0,C6/C4)</f>
        <v/>
      </c>
      <c r="D7" s="12">
        <f>IF(D4=0,0,D6/D4)</f>
        <v/>
      </c>
      <c r="E7" s="12">
        <f>IF(E4=0,0,E6/E4)</f>
        <v/>
      </c>
      <c r="F7" s="12">
        <f>IF(F4=0,0,F6/F4)</f>
        <v/>
      </c>
      <c r="G7" s="12">
        <f>IF(G4=0,0,G6/G4)</f>
        <v/>
      </c>
      <c r="H7" s="12">
        <f>IF(H4=0,0,H6/H4)</f>
        <v/>
      </c>
      <c r="I7" s="12">
        <f>IF(I4=0,0,I6/I4)</f>
        <v/>
      </c>
      <c r="J7" s="12">
        <f>IF(J4=0,0,J6/J4)</f>
        <v/>
      </c>
      <c r="K7" s="12">
        <f>IF(K4=0,0,K6/K4)</f>
        <v/>
      </c>
      <c r="L7" s="12">
        <f>IF(L4=0,0,L6/L4)</f>
        <v/>
      </c>
      <c r="M7" s="12">
        <f>IF(M4=0,0,M6/M4)</f>
        <v/>
      </c>
      <c r="N7" s="13">
        <f>AVERAGE(B7:M7)</f>
        <v/>
      </c>
    </row>
    <row r="8" ht="18" customHeight="1"/>
    <row r="9" ht="18" customHeight="1">
      <c r="A9" s="7" t="inlineStr">
        <is>
          <t>Salaires &amp; Charges Sociales (€)</t>
        </is>
      </c>
      <c r="B9" s="8" t="n">
        <v>27892.56</v>
      </c>
      <c r="C9" s="8" t="n">
        <v>29252.98</v>
      </c>
      <c r="D9" s="8" t="n">
        <v>28784.77</v>
      </c>
      <c r="E9" s="8" t="n">
        <v>28270.53</v>
      </c>
      <c r="F9" s="8" t="n">
        <v>29295.58</v>
      </c>
      <c r="G9" s="8" t="n">
        <v>28378.12</v>
      </c>
      <c r="H9" s="8" t="n">
        <v>27917.85</v>
      </c>
      <c r="I9" s="8" t="n">
        <v>28091.82</v>
      </c>
      <c r="J9" s="8" t="n">
        <v>28817.84</v>
      </c>
      <c r="K9" s="8" t="n">
        <v>28294.23</v>
      </c>
      <c r="L9" s="8" t="n">
        <v>28053.02</v>
      </c>
      <c r="M9" s="8" t="n">
        <v>28852.33</v>
      </c>
      <c r="N9" s="9">
        <f>SUM(B9:M9)</f>
        <v/>
      </c>
    </row>
    <row r="10" ht="18" customHeight="1">
      <c r="A10" s="7" t="inlineStr">
        <is>
          <t>Loyer &amp; Charges Locatives (€)</t>
        </is>
      </c>
      <c r="B10" s="8" t="n">
        <v>8610.17</v>
      </c>
      <c r="C10" s="8" t="n">
        <v>8285.190000000001</v>
      </c>
      <c r="D10" s="8" t="n">
        <v>8568.84</v>
      </c>
      <c r="E10" s="8" t="n">
        <v>8572.85</v>
      </c>
      <c r="F10" s="8" t="n">
        <v>8373.219999999999</v>
      </c>
      <c r="G10" s="8" t="n">
        <v>8322.950000000001</v>
      </c>
      <c r="H10" s="8" t="n">
        <v>8727.889999999999</v>
      </c>
      <c r="I10" s="8" t="n">
        <v>8275.030000000001</v>
      </c>
      <c r="J10" s="8" t="n">
        <v>8295.190000000001</v>
      </c>
      <c r="K10" s="8" t="n">
        <v>8492.68</v>
      </c>
      <c r="L10" s="8" t="n">
        <v>8488.16</v>
      </c>
      <c r="M10" s="8" t="n">
        <v>8380.459999999999</v>
      </c>
      <c r="N10" s="9">
        <f>SUM(B10:M10)</f>
        <v/>
      </c>
    </row>
    <row r="11" ht="18" customHeight="1">
      <c r="A11" s="7" t="inlineStr">
        <is>
          <t>Marketing &amp; Publicité (€)</t>
        </is>
      </c>
      <c r="B11" s="8" t="n">
        <v>2363.43</v>
      </c>
      <c r="C11" s="8" t="n">
        <v>2499.02</v>
      </c>
      <c r="D11" s="8" t="n">
        <v>2689.2</v>
      </c>
      <c r="E11" s="8" t="n">
        <v>3091.67</v>
      </c>
      <c r="F11" s="8" t="n">
        <v>3204.42</v>
      </c>
      <c r="G11" s="8" t="n">
        <v>3172.87</v>
      </c>
      <c r="H11" s="8" t="n">
        <v>3632.56</v>
      </c>
      <c r="I11" s="8" t="n">
        <v>3189.07</v>
      </c>
      <c r="J11" s="8" t="n">
        <v>3263.43</v>
      </c>
      <c r="K11" s="8" t="n">
        <v>2637.48</v>
      </c>
      <c r="L11" s="8" t="n">
        <v>3190.8</v>
      </c>
      <c r="M11" s="8" t="n">
        <v>4264.56</v>
      </c>
      <c r="N11" s="9">
        <f>SUM(B11:M11)</f>
        <v/>
      </c>
    </row>
    <row r="12" ht="18" customHeight="1">
      <c r="A12" s="7" t="inlineStr">
        <is>
          <t>Logistique &amp; Transport (€)</t>
        </is>
      </c>
      <c r="B12" s="8" t="n">
        <v>2229.96</v>
      </c>
      <c r="C12" s="8" t="n">
        <v>1990.32</v>
      </c>
      <c r="D12" s="8" t="n">
        <v>2613.01</v>
      </c>
      <c r="E12" s="8" t="n">
        <v>2400.42</v>
      </c>
      <c r="F12" s="8" t="n">
        <v>2756.67</v>
      </c>
      <c r="G12" s="8" t="n">
        <v>2217.88</v>
      </c>
      <c r="H12" s="8" t="n">
        <v>2902.47</v>
      </c>
      <c r="I12" s="8" t="n">
        <v>2785.95</v>
      </c>
      <c r="J12" s="8" t="n">
        <v>2417.11</v>
      </c>
      <c r="K12" s="8" t="n">
        <v>2395.15</v>
      </c>
      <c r="L12" s="8" t="n">
        <v>2949.59</v>
      </c>
      <c r="M12" s="8" t="n">
        <v>3970.41</v>
      </c>
      <c r="N12" s="9">
        <f>SUM(B12:M12)</f>
        <v/>
      </c>
    </row>
    <row r="13" ht="18" customHeight="1">
      <c r="A13" s="7" t="inlineStr">
        <is>
          <t>Frais Divers (€)</t>
        </is>
      </c>
      <c r="B13" s="8" t="n">
        <v>779.4</v>
      </c>
      <c r="C13" s="8" t="n">
        <v>434.78</v>
      </c>
      <c r="D13" s="8" t="n">
        <v>744.08</v>
      </c>
      <c r="E13" s="8" t="n">
        <v>614.22</v>
      </c>
      <c r="F13" s="8" t="n">
        <v>775.4400000000001</v>
      </c>
      <c r="G13" s="8" t="n">
        <v>644.3</v>
      </c>
      <c r="H13" s="8" t="n">
        <v>777.63</v>
      </c>
      <c r="I13" s="8" t="n">
        <v>642.71</v>
      </c>
      <c r="J13" s="8" t="n">
        <v>624.3099999999999</v>
      </c>
      <c r="K13" s="8" t="n">
        <v>532.6</v>
      </c>
      <c r="L13" s="8" t="n">
        <v>434.26</v>
      </c>
      <c r="M13" s="8" t="n">
        <v>404.66</v>
      </c>
      <c r="N13" s="9">
        <f>SUM(B13:M13)</f>
        <v/>
      </c>
    </row>
    <row r="14" ht="18" customHeight="1">
      <c r="A14" s="10" t="inlineStr">
        <is>
          <t>Total Charges Fixes (€)</t>
        </is>
      </c>
      <c r="B14" s="11">
        <f>B9+B10</f>
        <v/>
      </c>
      <c r="C14" s="11">
        <f>C9+C10</f>
        <v/>
      </c>
      <c r="D14" s="11">
        <f>D9+D10</f>
        <v/>
      </c>
      <c r="E14" s="11">
        <f>E9+E10</f>
        <v/>
      </c>
      <c r="F14" s="11">
        <f>F9+F10</f>
        <v/>
      </c>
      <c r="G14" s="11">
        <f>G9+G10</f>
        <v/>
      </c>
      <c r="H14" s="11">
        <f>H9+H10</f>
        <v/>
      </c>
      <c r="I14" s="11">
        <f>I9+I10</f>
        <v/>
      </c>
      <c r="J14" s="11">
        <f>J9+J10</f>
        <v/>
      </c>
      <c r="K14" s="11">
        <f>K9+K10</f>
        <v/>
      </c>
      <c r="L14" s="11">
        <f>L9+L10</f>
        <v/>
      </c>
      <c r="M14" s="11">
        <f>M9+M10</f>
        <v/>
      </c>
      <c r="N14" s="9">
        <f>SUM(B14:M14)</f>
        <v/>
      </c>
    </row>
    <row r="15" ht="18" customHeight="1">
      <c r="A15" s="10" t="inlineStr">
        <is>
          <t>Total Charges Variables (€)</t>
        </is>
      </c>
      <c r="B15" s="11">
        <f>B11+B12+B13</f>
        <v/>
      </c>
      <c r="C15" s="11">
        <f>C11+C12+C13</f>
        <v/>
      </c>
      <c r="D15" s="11">
        <f>D11+D12+D13</f>
        <v/>
      </c>
      <c r="E15" s="11">
        <f>E11+E12+E13</f>
        <v/>
      </c>
      <c r="F15" s="11">
        <f>F11+F12+F13</f>
        <v/>
      </c>
      <c r="G15" s="11">
        <f>G11+G12+G13</f>
        <v/>
      </c>
      <c r="H15" s="11">
        <f>H11+H12+H13</f>
        <v/>
      </c>
      <c r="I15" s="11">
        <f>I11+I12+I13</f>
        <v/>
      </c>
      <c r="J15" s="11">
        <f>J11+J12+J13</f>
        <v/>
      </c>
      <c r="K15" s="11">
        <f>K11+K12+K13</f>
        <v/>
      </c>
      <c r="L15" s="11">
        <f>L11+L12+L13</f>
        <v/>
      </c>
      <c r="M15" s="11">
        <f>M11+M12+M13</f>
        <v/>
      </c>
      <c r="N15" s="9">
        <f>SUM(B15:M15)</f>
        <v/>
      </c>
    </row>
    <row r="16" ht="18" customHeight="1"/>
    <row r="17" ht="18" customHeight="1">
      <c r="A17" s="10" t="inlineStr">
        <is>
          <t>Résultat d'Exploitation / EBIT (€)</t>
        </is>
      </c>
      <c r="B17" s="11">
        <f>B6-B14-B15</f>
        <v/>
      </c>
      <c r="C17" s="11">
        <f>C6-C14-C15</f>
        <v/>
      </c>
      <c r="D17" s="11">
        <f>D6-D14-D15</f>
        <v/>
      </c>
      <c r="E17" s="11">
        <f>E6-E14-E15</f>
        <v/>
      </c>
      <c r="F17" s="11">
        <f>F6-F14-F15</f>
        <v/>
      </c>
      <c r="G17" s="11">
        <f>G6-G14-G15</f>
        <v/>
      </c>
      <c r="H17" s="11">
        <f>H6-H14-H15</f>
        <v/>
      </c>
      <c r="I17" s="11">
        <f>I6-I14-I15</f>
        <v/>
      </c>
      <c r="J17" s="11">
        <f>J6-J14-J15</f>
        <v/>
      </c>
      <c r="K17" s="11">
        <f>K6-K14-K15</f>
        <v/>
      </c>
      <c r="L17" s="11">
        <f>L6-L14-L15</f>
        <v/>
      </c>
      <c r="M17" s="11">
        <f>M6-M14-M15</f>
        <v/>
      </c>
      <c r="N17" s="9">
        <f>SUM(B17:M17)</f>
        <v/>
      </c>
    </row>
    <row r="18" ht="18" customHeight="1">
      <c r="A18" s="7" t="inlineStr">
        <is>
          <t>Taux d'EBIT (%)</t>
        </is>
      </c>
      <c r="B18" s="12">
        <f>IF(B4=0,0,B17/B4)</f>
        <v/>
      </c>
      <c r="C18" s="12">
        <f>IF(C4=0,0,C17/C4)</f>
        <v/>
      </c>
      <c r="D18" s="12">
        <f>IF(D4=0,0,D17/D4)</f>
        <v/>
      </c>
      <c r="E18" s="12">
        <f>IF(E4=0,0,E17/E4)</f>
        <v/>
      </c>
      <c r="F18" s="12">
        <f>IF(F4=0,0,F17/F4)</f>
        <v/>
      </c>
      <c r="G18" s="12">
        <f>IF(G4=0,0,G17/G4)</f>
        <v/>
      </c>
      <c r="H18" s="12">
        <f>IF(H4=0,0,H17/H4)</f>
        <v/>
      </c>
      <c r="I18" s="12">
        <f>IF(I4=0,0,I17/I4)</f>
        <v/>
      </c>
      <c r="J18" s="12">
        <f>IF(J4=0,0,J17/J4)</f>
        <v/>
      </c>
      <c r="K18" s="12">
        <f>IF(K4=0,0,K17/K4)</f>
        <v/>
      </c>
      <c r="L18" s="12">
        <f>IF(L4=0,0,L17/L4)</f>
        <v/>
      </c>
      <c r="M18" s="12">
        <f>IF(M4=0,0,M17/M4)</f>
        <v/>
      </c>
      <c r="N18" s="13">
        <f>AVERAGE(B18:M18)</f>
        <v/>
      </c>
    </row>
    <row r="19" ht="18" customHeight="1"/>
    <row r="20" ht="18" customHeight="1">
      <c r="A20" s="7" t="inlineStr">
        <is>
          <t>Taux de Croissance CA (%)</t>
        </is>
      </c>
      <c r="B20" s="14" t="inlineStr">
        <is>
          <t>-</t>
        </is>
      </c>
      <c r="C20" s="12">
        <f>IF(B4=0,0,(C4-B4)/B4)</f>
        <v/>
      </c>
      <c r="D20" s="12">
        <f>IF(C4=0,0,(D4-C4)/C4)</f>
        <v/>
      </c>
      <c r="E20" s="12">
        <f>IF(D4=0,0,(E4-D4)/D4)</f>
        <v/>
      </c>
      <c r="F20" s="12">
        <f>IF(E4=0,0,(F4-E4)/E4)</f>
        <v/>
      </c>
      <c r="G20" s="12">
        <f>IF(F4=0,0,(G4-F4)/F4)</f>
        <v/>
      </c>
      <c r="H20" s="12">
        <f>IF(G4=0,0,(H4-G4)/G4)</f>
        <v/>
      </c>
      <c r="I20" s="12">
        <f>IF(H4=0,0,(I4-H4)/H4)</f>
        <v/>
      </c>
      <c r="J20" s="12">
        <f>IF(I4=0,0,(J4-I4)/I4)</f>
        <v/>
      </c>
      <c r="K20" s="12">
        <f>IF(J4=0,0,(K4-J4)/J4)</f>
        <v/>
      </c>
      <c r="L20" s="12">
        <f>IF(K4=0,0,(L4-K4)/K4)</f>
        <v/>
      </c>
      <c r="M20" s="12">
        <f>IF(L4=0,0,(M4-L4)/L4)</f>
        <v/>
      </c>
      <c r="N20" s="14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5" t="inlineStr">
        <is>
          <t>LuxMode Retail — Analyse des Ratios et Seuil de Rentabilité 2025</t>
        </is>
      </c>
    </row>
    <row r="3">
      <c r="A3" s="15" t="inlineStr">
        <is>
          <t>RATIOS ANNUELS 2025</t>
        </is>
      </c>
      <c r="B3" s="16" t="n"/>
      <c r="C3" s="17" t="n"/>
    </row>
    <row r="4">
      <c r="A4" s="1" t="inlineStr">
        <is>
          <t>Indicateur</t>
        </is>
      </c>
      <c r="B4" s="1" t="inlineStr">
        <is>
          <t>Valeur</t>
        </is>
      </c>
      <c r="C4" s="1" t="inlineStr">
        <is>
          <t>Référence secteur</t>
        </is>
      </c>
    </row>
    <row r="5" ht="18" customHeight="1">
      <c r="A5" s="18" t="inlineStr">
        <is>
          <t>Chiffre d'affaires annuel (€)</t>
        </is>
      </c>
      <c r="B5" s="19" t="inlineStr">
        <is>
          <t>1,243,762 €</t>
        </is>
      </c>
      <c r="C5" s="20" t="inlineStr">
        <is>
          <t>—</t>
        </is>
      </c>
    </row>
    <row r="6" ht="18" customHeight="1">
      <c r="A6" s="18" t="inlineStr">
        <is>
          <t>Marge brute (€)</t>
        </is>
      </c>
      <c r="B6" s="19" t="inlineStr">
        <is>
          <t>517,477 €</t>
        </is>
      </c>
      <c r="C6" s="20" t="inlineStr">
        <is>
          <t>—</t>
        </is>
      </c>
    </row>
    <row r="7" ht="18" customHeight="1">
      <c r="A7" s="18" t="inlineStr">
        <is>
          <t>Taux de marge brute (%)</t>
        </is>
      </c>
      <c r="B7" s="19" t="inlineStr">
        <is>
          <t>41.6%</t>
        </is>
      </c>
      <c r="C7" s="20" t="inlineStr">
        <is>
          <t>35–50 %</t>
        </is>
      </c>
    </row>
    <row r="8" ht="18" customHeight="1">
      <c r="A8" s="18" t="inlineStr">
        <is>
          <t>Résultat d'exploitation EBIT (€)</t>
        </is>
      </c>
      <c r="B8" s="19" t="inlineStr">
        <is>
          <t>-2,053 €</t>
        </is>
      </c>
      <c r="C8" s="20" t="inlineStr">
        <is>
          <t>—</t>
        </is>
      </c>
    </row>
    <row r="9" ht="18" customHeight="1">
      <c r="A9" s="18" t="inlineStr">
        <is>
          <t>Taux d'EBIT (%)</t>
        </is>
      </c>
      <c r="B9" s="19" t="inlineStr">
        <is>
          <t>-0.2%</t>
        </is>
      </c>
      <c r="C9" s="20" t="inlineStr">
        <is>
          <t>5–15 %</t>
        </is>
      </c>
    </row>
    <row r="10" ht="18" customHeight="1">
      <c r="A10" s="18" t="inlineStr">
        <is>
          <t>Ratio charges fixes / CA (%)</t>
        </is>
      </c>
      <c r="B10" s="19" t="inlineStr">
        <is>
          <t>35.6%</t>
        </is>
      </c>
      <c r="C10" s="20" t="inlineStr">
        <is>
          <t>&lt; 30 %</t>
        </is>
      </c>
    </row>
    <row r="11" ht="18" customHeight="1">
      <c r="A11" s="18" t="inlineStr">
        <is>
          <t>Ratio charges variables / CA (%)</t>
        </is>
      </c>
      <c r="B11" s="19" t="inlineStr">
        <is>
          <t>6.1%</t>
        </is>
      </c>
      <c r="C11" s="20" t="inlineStr">
        <is>
          <t>&lt; 15 %</t>
        </is>
      </c>
    </row>
    <row r="14" ht="22" customHeight="1">
      <c r="A14" s="21" t="inlineStr">
        <is>
          <t>SEUIL DE RENTABILITÉ (BREAK-EVEN)</t>
        </is>
      </c>
    </row>
    <row r="15">
      <c r="A15" s="1" t="inlineStr">
        <is>
          <t>Paramètre</t>
        </is>
      </c>
      <c r="B15" s="1" t="inlineStr">
        <is>
          <t>Valeur mensuelle moy.</t>
        </is>
      </c>
      <c r="C15" s="1" t="inlineStr">
        <is>
          <t>Valeur annuelle</t>
        </is>
      </c>
    </row>
    <row r="16" ht="18" customHeight="1">
      <c r="A16" s="18" t="inlineStr">
        <is>
          <t>Charges fixes mensuelles moy. (€)</t>
        </is>
      </c>
      <c r="B16" s="19" t="inlineStr">
        <is>
          <t>36,941 €</t>
        </is>
      </c>
      <c r="C16" s="19" t="inlineStr">
        <is>
          <t>443,294 €</t>
        </is>
      </c>
    </row>
    <row r="17" ht="18" customHeight="1">
      <c r="A17" s="18" t="inlineStr">
        <is>
          <t>Taux de charges variables / CA (%)</t>
        </is>
      </c>
      <c r="B17" s="19" t="inlineStr">
        <is>
          <t>6.1%</t>
        </is>
      </c>
      <c r="C17" s="19" t="inlineStr">
        <is>
          <t>6.1%</t>
        </is>
      </c>
    </row>
    <row r="18" ht="18" customHeight="1">
      <c r="A18" s="18" t="inlineStr">
        <is>
          <t>Taux de marge sur coût variable (%)</t>
        </is>
      </c>
      <c r="B18" s="19" t="inlineStr">
        <is>
          <t>35.5%</t>
        </is>
      </c>
      <c r="C18" s="19" t="inlineStr">
        <is>
          <t>35.5%</t>
        </is>
      </c>
    </row>
    <row r="19" ht="18" customHeight="1">
      <c r="A19" s="18" t="inlineStr">
        <is>
          <t>Seuil de rentabilité (€)</t>
        </is>
      </c>
      <c r="B19" s="19" t="inlineStr">
        <is>
          <t>104,129 €</t>
        </is>
      </c>
      <c r="C19" s="19" t="inlineStr">
        <is>
          <t>1,249,548 €</t>
        </is>
      </c>
    </row>
    <row r="20" ht="18" customHeight="1">
      <c r="A20" s="18" t="inlineStr">
        <is>
          <t>CA moyen / CA seuil (coverage)</t>
        </is>
      </c>
      <c r="B20" s="19" t="inlineStr">
        <is>
          <t>1.00x</t>
        </is>
      </c>
      <c r="C20" s="19" t="inlineStr">
        <is>
          <t>1.00x</t>
        </is>
      </c>
    </row>
    <row r="23" ht="22" customHeight="1">
      <c r="A23" s="21" t="inlineStr">
        <is>
          <t>PERFORMANCE PAR PRODUIT (CA 2025)</t>
        </is>
      </c>
    </row>
    <row r="24">
      <c r="A24" s="1" t="inlineStr">
        <is>
          <t>Produit</t>
        </is>
      </c>
      <c r="B24" s="1" t="inlineStr">
        <is>
          <t>CA Annuel (€)</t>
        </is>
      </c>
      <c r="C24" s="1" t="inlineStr">
        <is>
          <t>Part CA (%)</t>
        </is>
      </c>
      <c r="D24" s="1" t="inlineStr">
        <is>
          <t>Rang</t>
        </is>
      </c>
    </row>
    <row r="25" ht="18" customHeight="1">
      <c r="A25" s="18" t="inlineStr">
        <is>
          <t>P01 – Hauts</t>
        </is>
      </c>
      <c r="B25" s="19" t="inlineStr">
        <is>
          <t>438,346 €</t>
        </is>
      </c>
      <c r="C25" s="22" t="inlineStr">
        <is>
          <t>35.2%</t>
        </is>
      </c>
      <c r="D25" s="20" t="inlineStr">
        <is>
          <t>1</t>
        </is>
      </c>
    </row>
    <row r="26" ht="18" customHeight="1">
      <c r="A26" s="18" t="inlineStr">
        <is>
          <t>P02 – Pantalons</t>
        </is>
      </c>
      <c r="B26" s="19" t="inlineStr">
        <is>
          <t>350,354 €</t>
        </is>
      </c>
      <c r="C26" s="22" t="inlineStr">
        <is>
          <t>28.2%</t>
        </is>
      </c>
      <c r="D26" s="20" t="inlineStr">
        <is>
          <t>2</t>
        </is>
      </c>
    </row>
    <row r="27" ht="18" customHeight="1">
      <c r="A27" s="18" t="inlineStr">
        <is>
          <t>P03 – Robes</t>
        </is>
      </c>
      <c r="B27" s="19" t="inlineStr">
        <is>
          <t>271,210 €</t>
        </is>
      </c>
      <c r="C27" s="22" t="inlineStr">
        <is>
          <t>21.8%</t>
        </is>
      </c>
      <c r="D27" s="20" t="inlineStr">
        <is>
          <t>3</t>
        </is>
      </c>
    </row>
    <row r="28" ht="18" customHeight="1">
      <c r="A28" s="18" t="inlineStr">
        <is>
          <t>P04 – Accessoires</t>
        </is>
      </c>
      <c r="B28" s="19" t="inlineStr">
        <is>
          <t>183,852 €</t>
        </is>
      </c>
      <c r="C28" s="22" t="inlineStr">
        <is>
          <t>14.8%</t>
        </is>
      </c>
      <c r="D28" s="20" t="inlineStr">
        <is>
          <t>4</t>
        </is>
      </c>
    </row>
  </sheetData>
  <mergeCells count="12">
    <mergeCell ref="A23:D23"/>
    <mergeCell ref="A1:G1"/>
    <mergeCell ref="D3:G3"/>
    <mergeCell ref="D9:G9"/>
    <mergeCell ref="D8:G8"/>
    <mergeCell ref="D6:G6"/>
    <mergeCell ref="A14:C14"/>
    <mergeCell ref="D7:G7"/>
    <mergeCell ref="A3:C3"/>
    <mergeCell ref="D11:G11"/>
    <mergeCell ref="D10:G10"/>
    <mergeCell ref="D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2026-05-04T19:34:53Z</dcterms:created>
  <dcterms:modified xmlns:dcterms="http://purl.org/dc/terms/" xmlns:xsi="http://www.w3.org/2001/XMLSchema-instance" xsi:type="dcterms:W3CDTF">2026-05-04T19:34:53Z</dcterms:modified>
</cp:coreProperties>
</file>